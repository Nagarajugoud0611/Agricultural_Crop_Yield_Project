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d9ebbe557bc5eca0/Documents/"/>
    </mc:Choice>
  </mc:AlternateContent>
  <xr:revisionPtr revIDLastSave="11" documentId="8_{16C02269-8FBD-4070-BEF9-62F421CE1A29}" xr6:coauthVersionLast="47" xr6:coauthVersionMax="47" xr10:uidLastSave="{41097FF4-6383-4632-9E08-F26D48332967}"/>
  <bookViews>
    <workbookView xWindow="-120" yWindow="-120" windowWidth="20730" windowHeight="11040" xr2:uid="{E235715C-89EB-491E-A3EA-1502946B03BB}"/>
  </bookViews>
  <sheets>
    <sheet name="Dashboard" sheetId="4" r:id="rId1"/>
    <sheet name="Raw_data" sheetId="1" r:id="rId2"/>
    <sheet name="pivot_analysis" sheetId="3" r:id="rId3"/>
    <sheet name="Cleaned_data" sheetId="2" r:id="rId4"/>
  </sheets>
  <definedNames>
    <definedName name="Slicer_Crop_Name">#N/A</definedName>
    <definedName name="Slicer_Irrigation_Type">#N/A</definedName>
    <definedName name="Slicer_Season">#N/A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4" l="1"/>
  <c r="F3" i="4"/>
  <c r="D3" i="4"/>
  <c r="B3" i="4"/>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2" i="2"/>
</calcChain>
</file>

<file path=xl/sharedStrings.xml><?xml version="1.0" encoding="utf-8"?>
<sst xmlns="http://schemas.openxmlformats.org/spreadsheetml/2006/main" count="8097" uniqueCount="582">
  <si>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</si>
  <si>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</si>
  <si>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</si>
  <si>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</si>
  <si>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</si>
  <si>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</si>
  <si>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</si>
  <si>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</si>
  <si>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</si>
  <si>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</si>
  <si>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</si>
  <si>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</si>
  <si>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</si>
  <si>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</si>
  <si>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</si>
  <si>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</si>
  <si>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CID1</t>
  </si>
  <si>
    <t>Uttar Pradesh</t>
  </si>
  <si>
    <t>Lucknow</t>
  </si>
  <si>
    <t>Zaid</t>
  </si>
  <si>
    <t>Maize</t>
  </si>
  <si>
    <t>Canal</t>
  </si>
  <si>
    <t>Urea</t>
  </si>
  <si>
    <t>Black</t>
  </si>
  <si>
    <t>CID2</t>
  </si>
  <si>
    <t>Punjab</t>
  </si>
  <si>
    <t>Ludhiana</t>
  </si>
  <si>
    <t>Pulses</t>
  </si>
  <si>
    <t>Drip</t>
  </si>
  <si>
    <t>Compost</t>
  </si>
  <si>
    <t>CID3</t>
  </si>
  <si>
    <t>Maharashtra</t>
  </si>
  <si>
    <t>Pune</t>
  </si>
  <si>
    <t>Kharif</t>
  </si>
  <si>
    <t>Rainfed</t>
  </si>
  <si>
    <t>CID4</t>
  </si>
  <si>
    <t>Karnataka</t>
  </si>
  <si>
    <t>Bangalore</t>
  </si>
  <si>
    <t>Rabi</t>
  </si>
  <si>
    <t>Cotton</t>
  </si>
  <si>
    <t>Borewell</t>
  </si>
  <si>
    <t>DAP</t>
  </si>
  <si>
    <t>Red</t>
  </si>
  <si>
    <t>CID5</t>
  </si>
  <si>
    <t>West Bengal</t>
  </si>
  <si>
    <t>Kolkata</t>
  </si>
  <si>
    <t>Sugarcane</t>
  </si>
  <si>
    <t>Vermicompost</t>
  </si>
  <si>
    <t>CID6</t>
  </si>
  <si>
    <t>NPK</t>
  </si>
  <si>
    <t>CID7</t>
  </si>
  <si>
    <t>Mysore</t>
  </si>
  <si>
    <t>Laterite</t>
  </si>
  <si>
    <t>CID8</t>
  </si>
  <si>
    <t>Varanasi</t>
  </si>
  <si>
    <t>CID9</t>
  </si>
  <si>
    <t>Rice</t>
  </si>
  <si>
    <t>CID10</t>
  </si>
  <si>
    <t>CID11</t>
  </si>
  <si>
    <t>Bihar</t>
  </si>
  <si>
    <t>Patna</t>
  </si>
  <si>
    <t>Sandy</t>
  </si>
  <si>
    <t>CID12</t>
  </si>
  <si>
    <t>Gaya</t>
  </si>
  <si>
    <t>Wheat</t>
  </si>
  <si>
    <t>CID13</t>
  </si>
  <si>
    <t>CID14</t>
  </si>
  <si>
    <t>Darjeeling</t>
  </si>
  <si>
    <t>CID15</t>
  </si>
  <si>
    <t>Patiala</t>
  </si>
  <si>
    <t>Alluvial</t>
  </si>
  <si>
    <t>CID16</t>
  </si>
  <si>
    <t>Kanpur</t>
  </si>
  <si>
    <t>CID17</t>
  </si>
  <si>
    <t>CID18</t>
  </si>
  <si>
    <t>CID19</t>
  </si>
  <si>
    <t>CID20</t>
  </si>
  <si>
    <t>Hubli</t>
  </si>
  <si>
    <t>CID21</t>
  </si>
  <si>
    <t>CID22</t>
  </si>
  <si>
    <t>CID23</t>
  </si>
  <si>
    <t>CID24</t>
  </si>
  <si>
    <t>Nagpur</t>
  </si>
  <si>
    <t>CID25</t>
  </si>
  <si>
    <t>CID26</t>
  </si>
  <si>
    <t>CID27</t>
  </si>
  <si>
    <t>CID28</t>
  </si>
  <si>
    <t>Amritsar</t>
  </si>
  <si>
    <t>CID29</t>
  </si>
  <si>
    <t>CID30</t>
  </si>
  <si>
    <t>CID31</t>
  </si>
  <si>
    <t>CID32</t>
  </si>
  <si>
    <t>CID33</t>
  </si>
  <si>
    <t>Bhagalpur</t>
  </si>
  <si>
    <t>CID34</t>
  </si>
  <si>
    <t>CID35</t>
  </si>
  <si>
    <t>CID36</t>
  </si>
  <si>
    <t>CID37</t>
  </si>
  <si>
    <t>CID38</t>
  </si>
  <si>
    <t>Howrah</t>
  </si>
  <si>
    <t>CID39</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</si>
  <si>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</si>
  <si>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</si>
  <si>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</si>
  <si>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</si>
  <si>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</si>
  <si>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</si>
  <si>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</si>
  <si>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</si>
  <si>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</si>
  <si>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</si>
  <si>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</si>
  <si>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</si>
  <si>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</si>
  <si>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</si>
  <si>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</si>
  <si>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</si>
  <si>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</si>
  <si>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</si>
  <si>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</si>
  <si>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</si>
  <si>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</si>
  <si>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</si>
  <si>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</si>
  <si>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</si>
  <si>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</si>
  <si>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</si>
  <si>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</si>
  <si>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</si>
  <si>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</si>
  <si>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</si>
  <si>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</si>
  <si>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</si>
  <si>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</si>
  <si>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</si>
  <si>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</si>
  <si>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</si>
  <si>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</si>
  <si>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</si>
  <si>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</si>
  <si>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</si>
  <si>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</si>
  <si>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</si>
  <si>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</si>
  <si>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</si>
  <si>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</si>
  <si>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</si>
  <si>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</si>
  <si>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</si>
  <si>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</si>
  <si>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</si>
  <si>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</si>
  <si>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</si>
  <si>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</si>
  <si>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</si>
  <si>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</si>
  <si>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</si>
  <si>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</si>
  <si>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</si>
  <si>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</si>
  <si>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</si>
  <si>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</si>
  <si>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</si>
  <si>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</si>
  <si>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</si>
  <si>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</si>
  <si>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</si>
  <si>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</si>
  <si>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</si>
  <si>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</si>
  <si>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</si>
  <si>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</si>
  <si>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</si>
  <si>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</si>
  <si>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</si>
  <si>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</si>
  <si>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</si>
  <si>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</si>
  <si>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</si>
  <si>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</si>
  <si>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</si>
  <si>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</si>
  <si>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</si>
  <si>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</si>
  <si>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</si>
  <si>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</si>
  <si>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</si>
  <si>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</si>
  <si>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</si>
  <si>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</si>
  <si>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</si>
  <si>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</si>
  <si>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</si>
  <si>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</si>
  <si>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</si>
  <si>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</si>
  <si>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</si>
  <si>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</si>
  <si>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</si>
  <si>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</si>
  <si>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</si>
  <si>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</si>
  <si>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</si>
  <si>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</si>
  <si>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</si>
  <si>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</si>
  <si>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</si>
  <si>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</si>
  <si>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</si>
  <si>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</si>
  <si>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</si>
  <si>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</si>
  <si>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</si>
  <si>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</si>
  <si>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</si>
  <si>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</si>
  <si>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</si>
  <si>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</si>
  <si>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</si>
  <si>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</si>
  <si>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</si>
  <si>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</si>
  <si>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</si>
  <si>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</si>
  <si>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</si>
  <si>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</si>
  <si>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</si>
  <si>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</si>
  <si>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</si>
  <si>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</si>
  <si>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</si>
  <si>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</si>
  <si>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</si>
  <si>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</si>
  <si>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</si>
  <si>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</si>
  <si>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</si>
  <si>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</si>
  <si>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</si>
  <si>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</si>
  <si>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</si>
  <si>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</si>
  <si>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</si>
  <si>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</si>
  <si>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</si>
  <si>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</si>
  <si>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</si>
  <si>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</si>
  <si>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</si>
  <si>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</si>
  <si>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</si>
  <si>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</si>
  <si>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</si>
  <si>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</si>
  <si>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</si>
  <si>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</si>
  <si>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</si>
  <si>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</si>
  <si>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</si>
  <si>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</si>
  <si>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</si>
  <si>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</si>
  <si>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</si>
  <si>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</si>
  <si>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</si>
  <si>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</si>
  <si>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</si>
  <si>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</si>
  <si>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</si>
  <si>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</si>
  <si>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</si>
  <si>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</si>
  <si>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</si>
  <si>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</si>
  <si>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</si>
  <si>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</si>
  <si>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</si>
  <si>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</si>
  <si>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</si>
  <si>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</si>
  <si>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</si>
  <si>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</si>
  <si>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</si>
  <si>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</si>
  <si>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</si>
  <si>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</si>
  <si>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</si>
  <si>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</si>
  <si>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</si>
  <si>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</si>
  <si>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</si>
  <si>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</si>
  <si>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</si>
  <si>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</si>
  <si>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</si>
  <si>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</si>
  <si>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</si>
  <si>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</si>
  <si>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</si>
  <si>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</si>
  <si>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</si>
  <si>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</si>
  <si>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</si>
  <si>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</si>
  <si>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</si>
  <si>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</si>
  <si>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</si>
  <si>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</si>
  <si>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</si>
  <si>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</si>
  <si>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</si>
  <si>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</si>
  <si>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</si>
  <si>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</si>
  <si>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</si>
  <si>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</si>
  <si>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</si>
  <si>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</si>
  <si>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</si>
  <si>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</si>
  <si>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</si>
  <si>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</si>
  <si>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</si>
  <si>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</si>
  <si>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</si>
  <si>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</si>
  <si>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</si>
  <si>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</si>
  <si>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</si>
  <si>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</si>
  <si>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</si>
  <si>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</si>
  <si>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</si>
  <si>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</si>
  <si>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</si>
  <si>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</si>
  <si>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</si>
  <si>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</si>
  <si>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</si>
  <si>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</si>
  <si>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</si>
  <si>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</si>
  <si>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</si>
  <si>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</si>
  <si>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</si>
  <si>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</si>
  <si>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</si>
  <si>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</si>
  <si>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</si>
  <si>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</si>
  <si>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</si>
  <si>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</si>
  <si>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</si>
  <si>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</si>
  <si>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</si>
  <si>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</si>
  <si>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</si>
  <si>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</si>
  <si>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</si>
  <si>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</si>
  <si>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</si>
  <si>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</si>
  <si>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</si>
  <si>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</si>
  <si>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</si>
  <si>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</si>
  <si>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</si>
  <si>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</si>
  <si>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</si>
  <si>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</si>
  <si>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</si>
  <si>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</si>
  <si>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</si>
  <si>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</si>
  <si>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</si>
  <si>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</si>
  <si>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</si>
  <si>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</si>
  <si>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</si>
  <si>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</si>
  <si>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</si>
  <si>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</si>
  <si>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</si>
  <si>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</si>
  <si>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</si>
  <si>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</si>
  <si>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</si>
  <si>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</si>
  <si>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</si>
  <si>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</si>
  <si>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</si>
  <si>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</si>
  <si>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</si>
  <si>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</si>
  <si>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</si>
  <si>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</si>
  <si>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</si>
  <si>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</si>
  <si>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</si>
  <si>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</si>
  <si>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</si>
  <si>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</si>
  <si>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</si>
  <si>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</si>
  <si>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</si>
  <si>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</si>
  <si>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</si>
  <si>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</si>
  <si>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</si>
  <si>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</si>
  <si>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</si>
  <si>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</si>
  <si>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</si>
  <si>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</si>
  <si>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</si>
  <si>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</si>
  <si>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</si>
  <si>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</si>
  <si>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</si>
  <si>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</si>
  <si>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</si>
  <si>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</si>
  <si>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</si>
  <si>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</si>
  <si>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</si>
  <si>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</si>
  <si>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</si>
  <si>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</si>
  <si>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</si>
  <si>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</si>
  <si>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</si>
  <si>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</si>
  <si>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</si>
  <si>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</si>
  <si>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</si>
  <si>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</si>
  <si>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</si>
  <si>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</si>
  <si>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</si>
  <si>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</si>
  <si>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</si>
  <si>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</si>
  <si>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</si>
  <si>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</si>
  <si>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</si>
  <si>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</si>
  <si>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</si>
  <si>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</si>
  <si>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</si>
  <si>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</si>
  <si>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</si>
  <si>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</si>
  <si>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</si>
  <si>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</si>
  <si>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</si>
  <si>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</si>
  <si>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</si>
  <si>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</si>
  <si>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</si>
  <si>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</si>
  <si>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</si>
  <si>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</si>
  <si>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</si>
  <si>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</si>
  <si>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</si>
  <si>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</si>
  <si>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</si>
  <si>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</si>
  <si>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</si>
  <si>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</si>
  <si>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</si>
  <si>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</si>
  <si>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</si>
  <si>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</si>
  <si>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</si>
  <si>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</si>
  <si>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</si>
  <si>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</si>
  <si>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</si>
  <si>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</si>
  <si>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</si>
  <si>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</si>
  <si>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</si>
  <si>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</si>
  <si>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</si>
  <si>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</si>
  <si>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</si>
  <si>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</si>
  <si>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</si>
  <si>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</si>
  <si>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</si>
  <si>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</si>
  <si>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</si>
  <si>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</si>
  <si>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</si>
  <si>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</si>
  <si>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</si>
  <si>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</si>
  <si>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</si>
  <si>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</si>
  <si>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</si>
  <si>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</si>
  <si>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</si>
  <si>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</si>
  <si>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</si>
  <si>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</si>
  <si>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</si>
  <si>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</si>
  <si>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</si>
  <si>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</si>
  <si>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</si>
  <si>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</si>
  <si>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</si>
  <si>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</si>
  <si>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</si>
  <si>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</si>
  <si>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</si>
  <si>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</si>
  <si>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</si>
  <si>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</si>
  <si>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</si>
  <si>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</si>
  <si>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</si>
  <si>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</si>
  <si>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</si>
  <si>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</si>
  <si>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</si>
  <si>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</si>
  <si>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</si>
  <si>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</si>
  <si>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</si>
  <si>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</si>
  <si>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</si>
  <si>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</si>
  <si>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</si>
  <si>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</si>
  <si>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</si>
  <si>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</si>
  <si>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</si>
  <si>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</si>
  <si>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</si>
  <si>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</si>
  <si>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</si>
  <si>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</si>
  <si>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</si>
  <si>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</si>
  <si>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</si>
  <si>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</si>
  <si>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</si>
  <si>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</si>
  <si>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</si>
  <si>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</si>
  <si>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</si>
  <si>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</si>
  <si>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</si>
  <si>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</si>
  <si>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</si>
  <si>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</si>
  <si>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</si>
  <si>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</si>
  <si>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</si>
  <si>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</si>
  <si>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</si>
  <si>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</si>
  <si>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</si>
  <si>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</si>
  <si>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</si>
  <si>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Zone</t>
  </si>
  <si>
    <t>North</t>
  </si>
  <si>
    <t>East</t>
  </si>
  <si>
    <t>West</t>
  </si>
  <si>
    <t>South</t>
  </si>
  <si>
    <t>Yield Category</t>
  </si>
  <si>
    <t>Row Labels</t>
  </si>
  <si>
    <t>Grand Total</t>
  </si>
  <si>
    <t>Average of Yield (Kg/Ha)</t>
  </si>
  <si>
    <t>Sum of Production (Tonnes)</t>
  </si>
  <si>
    <t>Total Records</t>
  </si>
  <si>
    <t>Avg Yield (Kg/Ha)</t>
  </si>
  <si>
    <t>Total Area (Ha)</t>
  </si>
  <si>
    <t>Total Production (T)</t>
  </si>
  <si>
    <t xml:space="preserve"> Indian Agricultural Crop Yield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</si>
</sst>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C3C2B7"/>
      <name val="Segoe UI"/>
      <family val="2"/>
    </font>
    <font>
      <b/>
      <sz val="16"/>
      <color theme="1"/>
      <name val="Calibri"/>
      <family val="2"/>
      <scheme val="minor"/>
    </font>
    <font>
      <sz val="18"/>
      <color theme="9"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yield</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pivot_analysis!$A$4:$A$11</c:f>
              <c:strCache>
                <c:ptCount val="7"/>
                <c:pt idx="0">
                  <c:v>Bihar</c:v>
                </c:pt>
                <c:pt idx="1">
                  <c:v>Haryana</c:v>
                </c:pt>
                <c:pt idx="2">
                  <c:v>Karnataka</c:v>
                </c:pt>
                <c:pt idx="3">
                  <c:v>Maharashtra</c:v>
                </c:pt>
                <c:pt idx="4">
                  <c:v>Punjab</c:v>
                </c:pt>
                <c:pt idx="5">
                  <c:v>Uttar Pradesh</c:v>
                </c:pt>
                <c:pt idx="6">
                  <c:v>West Bengal</c:v>
                </c:pt>
              </c:strCache>
            </c:strRef>
          </c:cat>
          <c:val>
            <c:numRef>
              <c:f>pivot_analysis!$B$4:$B$11</c:f>
              <c:numCache>
                <c:formatCode>General</c:formatCode>
                <c:ptCount val="7"/>
                <c:pt idx="0">
                  <c:v>4017.4552631578936</c:v>
                </c:pt>
                <c:pt idx="1">
                  <c:v>3753.185526315789</c:v>
                </c:pt>
                <c:pt idx="2">
                  <c:v>4265.956666666666</c:v>
                </c:pt>
                <c:pt idx="3">
                  <c:v>3957.2872151898741</c:v>
                </c:pt>
                <c:pt idx="4">
                  <c:v>3698.6055405405391</c:v>
                </c:pt>
                <c:pt idx="5">
                  <c:v>4212.8542647058812</c:v>
                </c:pt>
                <c:pt idx="6">
                  <c:v>4154.7011428571413</c:v>
                </c:pt>
              </c:numCache>
            </c:numRef>
          </c:val>
          <c:extLst>
            <c:ext xmlns:c16="http://schemas.microsoft.com/office/drawing/2014/chart" uri="{C3380CC4-5D6E-409C-BE32-E72D297353CC}">
              <c16:uniqueId val="{00000000-F565-477E-8181-9FD80E196C1F}"/>
            </c:ext>
          </c:extLst>
        </c:ser>
        <c:dLbls>
          <c:showLegendKey val="0"/>
          <c:showVal val="0"/>
          <c:showCatName val="0"/>
          <c:showSerName val="0"/>
          <c:showPercent val="0"/>
          <c:showBubbleSize val="0"/>
        </c:dLbls>
        <c:gapWidth val="219"/>
        <c:overlap val="-27"/>
        <c:axId val="2064799343"/>
        <c:axId val="1688281647"/>
      </c:barChart>
      <c:catAx>
        <c:axId val="20647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81647"/>
        <c:crosses val="autoZero"/>
        <c:auto val="1"/>
        <c:lblAlgn val="ctr"/>
        <c:lblOffset val="100"/>
        <c:noMultiLvlLbl val="0"/>
      </c:catAx>
      <c:valAx>
        <c:axId val="168828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9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Production by CROP</a:t>
            </a:r>
          </a:p>
        </c:rich>
      </c:tx>
      <c:layout>
        <c:manualLayout>
          <c:xMode val="edge"/>
          <c:yMode val="edge"/>
          <c:x val="0.22792089939615928"/>
          <c:y val="0.119196410855538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pivot_analysis!$G$3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66-4FBA-950A-62F8FC636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66-4FBA-950A-62F8FC6366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66-4FBA-950A-62F8FC6366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66-4FBA-950A-62F8FC6366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66-4FBA-950A-62F8FC6366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66-4FBA-950A-62F8FC6366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pivot_analysis!$F$4:$F$10</c:f>
              <c:strCache>
                <c:ptCount val="6"/>
                <c:pt idx="0">
                  <c:v>Cotton</c:v>
                </c:pt>
                <c:pt idx="1">
                  <c:v>Maize</c:v>
                </c:pt>
                <c:pt idx="2">
                  <c:v>Pulses</c:v>
                </c:pt>
                <c:pt idx="3">
                  <c:v>Rice</c:v>
                </c:pt>
                <c:pt idx="4">
                  <c:v>Sugarcane</c:v>
                </c:pt>
                <c:pt idx="5">
                  <c:v>Wheat</c:v>
                </c:pt>
              </c:strCache>
            </c:strRef>
          </c:cat>
          <c:val>
            <c:numRef>
              <c:f>pivot_analysis!$G$4:$G$10</c:f>
              <c:numCache>
                <c:formatCode>General</c:formatCode>
                <c:ptCount val="6"/>
                <c:pt idx="0">
                  <c:v>18521.37</c:v>
                </c:pt>
                <c:pt idx="1">
                  <c:v>15817.539999999999</c:v>
                </c:pt>
                <c:pt idx="2">
                  <c:v>17292.79</c:v>
                </c:pt>
                <c:pt idx="3">
                  <c:v>13759.390000000001</c:v>
                </c:pt>
                <c:pt idx="4">
                  <c:v>17383.849999999995</c:v>
                </c:pt>
                <c:pt idx="5">
                  <c:v>15584.49</c:v>
                </c:pt>
              </c:numCache>
            </c:numRef>
          </c:val>
          <c:extLst>
            <c:ext xmlns:c16="http://schemas.microsoft.com/office/drawing/2014/chart" uri="{C3380CC4-5D6E-409C-BE32-E72D297353CC}">
              <c16:uniqueId val="{0000000C-E466-4FBA-950A-62F8FC63664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Yield by Season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pivot_analysis!$B$13</c:f>
              <c:strCache>
                <c:ptCount val="1"/>
                <c:pt idx="0">
                  <c:v>Total</c:v>
                </c:pt>
              </c:strCache>
            </c:strRef>
          </c:tx>
          <c:spPr>
            <a:solidFill>
              <a:schemeClr val="accent1"/>
            </a:solidFill>
            <a:ln>
              <a:noFill/>
            </a:ln>
            <a:effectLst/>
          </c:spPr>
          <c:invertIfNegative val="0"/>
          <c:cat>
            <c:strRef>
              <c:f>pivot_analysis!$A$14:$A$17</c:f>
              <c:strCache>
                <c:ptCount val="3"/>
                <c:pt idx="0">
                  <c:v>Kharif</c:v>
                </c:pt>
                <c:pt idx="1">
                  <c:v>Rabi</c:v>
                </c:pt>
                <c:pt idx="2">
                  <c:v>Zaid</c:v>
                </c:pt>
              </c:strCache>
            </c:strRef>
          </c:cat>
          <c:val>
            <c:numRef>
              <c:f>pivot_analysis!$B$14:$B$17</c:f>
              <c:numCache>
                <c:formatCode>General</c:formatCode>
                <c:ptCount val="3"/>
                <c:pt idx="0">
                  <c:v>4026.2509677419334</c:v>
                </c:pt>
                <c:pt idx="1">
                  <c:v>4213.0431395348824</c:v>
                </c:pt>
                <c:pt idx="2">
                  <c:v>3749.3732947976869</c:v>
                </c:pt>
              </c:numCache>
            </c:numRef>
          </c:val>
          <c:extLst>
            <c:ext xmlns:c16="http://schemas.microsoft.com/office/drawing/2014/chart" uri="{C3380CC4-5D6E-409C-BE32-E72D297353CC}">
              <c16:uniqueId val="{00000000-1CF6-4077-9820-CA06D7BEC42E}"/>
            </c:ext>
          </c:extLst>
        </c:ser>
        <c:dLbls>
          <c:showLegendKey val="0"/>
          <c:showVal val="0"/>
          <c:showCatName val="0"/>
          <c:showSerName val="0"/>
          <c:showPercent val="0"/>
          <c:showBubbleSize val="0"/>
        </c:dLbls>
        <c:gapWidth val="219"/>
        <c:overlap val="-27"/>
        <c:axId val="2077099519"/>
        <c:axId val="2070258543"/>
      </c:barChart>
      <c:catAx>
        <c:axId val="207709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58543"/>
        <c:crosses val="autoZero"/>
        <c:auto val="1"/>
        <c:lblAlgn val="ctr"/>
        <c:lblOffset val="100"/>
        <c:noMultiLvlLbl val="0"/>
      </c:catAx>
      <c:valAx>
        <c:axId val="207025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09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Yield by Irrigation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pivot_analysis!$B$19</c:f>
              <c:strCache>
                <c:ptCount val="1"/>
                <c:pt idx="0">
                  <c:v>Total</c:v>
                </c:pt>
              </c:strCache>
            </c:strRef>
          </c:tx>
          <c:spPr>
            <a:solidFill>
              <a:schemeClr val="accent1"/>
            </a:solidFill>
            <a:ln>
              <a:noFill/>
            </a:ln>
            <a:effectLst/>
          </c:spPr>
          <c:invertIfNegative val="0"/>
          <c:cat>
            <c:strRef>
              <c:f>pivot_analysis!$A$20:$A$24</c:f>
              <c:strCache>
                <c:ptCount val="4"/>
                <c:pt idx="0">
                  <c:v>Borewell</c:v>
                </c:pt>
                <c:pt idx="1">
                  <c:v>Canal</c:v>
                </c:pt>
                <c:pt idx="2">
                  <c:v>Drip</c:v>
                </c:pt>
                <c:pt idx="3">
                  <c:v>Rainfed</c:v>
                </c:pt>
              </c:strCache>
            </c:strRef>
          </c:cat>
          <c:val>
            <c:numRef>
              <c:f>pivot_analysis!$B$20:$B$24</c:f>
              <c:numCache>
                <c:formatCode>General</c:formatCode>
                <c:ptCount val="4"/>
                <c:pt idx="0">
                  <c:v>4087.0963157894748</c:v>
                </c:pt>
                <c:pt idx="1">
                  <c:v>4089.9497435897438</c:v>
                </c:pt>
                <c:pt idx="2">
                  <c:v>3931.9300775193801</c:v>
                </c:pt>
                <c:pt idx="3">
                  <c:v>3897.7272857142862</c:v>
                </c:pt>
              </c:numCache>
            </c:numRef>
          </c:val>
          <c:extLst>
            <c:ext xmlns:c16="http://schemas.microsoft.com/office/drawing/2014/chart" uri="{C3380CC4-5D6E-409C-BE32-E72D297353CC}">
              <c16:uniqueId val="{00000000-2D70-4249-8694-0A7AF25C0B25}"/>
            </c:ext>
          </c:extLst>
        </c:ser>
        <c:dLbls>
          <c:showLegendKey val="0"/>
          <c:showVal val="0"/>
          <c:showCatName val="0"/>
          <c:showSerName val="0"/>
          <c:showPercent val="0"/>
          <c:showBubbleSize val="0"/>
        </c:dLbls>
        <c:gapWidth val="219"/>
        <c:overlap val="-27"/>
        <c:axId val="2077103695"/>
        <c:axId val="2070239343"/>
      </c:barChart>
      <c:catAx>
        <c:axId val="207710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39343"/>
        <c:crosses val="autoZero"/>
        <c:auto val="1"/>
        <c:lblAlgn val="ctr"/>
        <c:lblOffset val="100"/>
        <c:noMultiLvlLbl val="0"/>
      </c:catAx>
      <c:valAx>
        <c:axId val="207023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0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Yield by Zone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pivot_analysis!$G$13</c:f>
              <c:strCache>
                <c:ptCount val="1"/>
                <c:pt idx="0">
                  <c:v>Total</c:v>
                </c:pt>
              </c:strCache>
            </c:strRef>
          </c:tx>
          <c:spPr>
            <a:solidFill>
              <a:schemeClr val="accent1"/>
            </a:solidFill>
            <a:ln>
              <a:noFill/>
            </a:ln>
            <a:effectLst/>
          </c:spPr>
          <c:invertIfNegative val="0"/>
          <c:cat>
            <c:strRef>
              <c:f>pivot_analysis!$F$14:$F$18</c:f>
              <c:strCache>
                <c:ptCount val="4"/>
                <c:pt idx="0">
                  <c:v>East</c:v>
                </c:pt>
                <c:pt idx="1">
                  <c:v>North</c:v>
                </c:pt>
                <c:pt idx="2">
                  <c:v>South</c:v>
                </c:pt>
                <c:pt idx="3">
                  <c:v>West</c:v>
                </c:pt>
              </c:strCache>
            </c:strRef>
          </c:cat>
          <c:val>
            <c:numRef>
              <c:f>pivot_analysis!$G$14:$G$18</c:f>
              <c:numCache>
                <c:formatCode>General</c:formatCode>
                <c:ptCount val="4"/>
                <c:pt idx="0">
                  <c:v>4083.2580821917818</c:v>
                </c:pt>
                <c:pt idx="1">
                  <c:v>3878.0412844036691</c:v>
                </c:pt>
                <c:pt idx="2">
                  <c:v>4265.956666666666</c:v>
                </c:pt>
                <c:pt idx="3">
                  <c:v>3957.2872151898741</c:v>
                </c:pt>
              </c:numCache>
            </c:numRef>
          </c:val>
          <c:extLst>
            <c:ext xmlns:c16="http://schemas.microsoft.com/office/drawing/2014/chart" uri="{C3380CC4-5D6E-409C-BE32-E72D297353CC}">
              <c16:uniqueId val="{00000004-69EE-45A7-B453-9C6B807BBCB9}"/>
            </c:ext>
          </c:extLst>
        </c:ser>
        <c:dLbls>
          <c:showLegendKey val="0"/>
          <c:showVal val="0"/>
          <c:showCatName val="0"/>
          <c:showSerName val="0"/>
          <c:showPercent val="0"/>
          <c:showBubbleSize val="0"/>
        </c:dLbls>
        <c:gapWidth val="219"/>
        <c:overlap val="-27"/>
        <c:axId val="2050779631"/>
        <c:axId val="2070259983"/>
      </c:barChart>
      <c:catAx>
        <c:axId val="20507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59983"/>
        <c:crosses val="autoZero"/>
        <c:auto val="1"/>
        <c:lblAlgn val="ctr"/>
        <c:lblOffset val="100"/>
        <c:noMultiLvlLbl val="0"/>
      </c:catAx>
      <c:valAx>
        <c:axId val="207025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796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[Agricultural_Crop_Yield.csv.xlsx]pivot_analysis!PivotTable7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Yield Trend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pivot_analysis!$G$20</c:f>
              <c:strCache>
                <c:ptCount val="1"/>
                <c:pt idx="0">
                  <c:v>Total</c:v>
                </c:pt>
              </c:strCache>
            </c:strRef>
          </c:tx>
          <c:spPr>
            <a:ln w="28575" cap="rnd">
              <a:solidFill>
                <a:schemeClr val="accent1"/>
              </a:solidFill>
              <a:round/>
            </a:ln>
            <a:effectLst/>
          </c:spPr>
          <c:marker>
            <c:symbol val="none"/>
          </c:marker>
          <c:cat>
            <c:strRef>
              <c:f>pivot_analysis!$F$21:$F$34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pivot_analysis!$G$21:$G$34</c:f>
              <c:numCache>
                <c:formatCode>General</c:formatCode>
                <c:ptCount val="13"/>
                <c:pt idx="0">
                  <c:v>3824.8065714285717</c:v>
                </c:pt>
                <c:pt idx="1">
                  <c:v>3980.9126666666662</c:v>
                </c:pt>
                <c:pt idx="2">
                  <c:v>4467.994999999999</c:v>
                </c:pt>
                <c:pt idx="3">
                  <c:v>3910.6315789473679</c:v>
                </c:pt>
                <c:pt idx="4">
                  <c:v>4056.8628124999996</c:v>
                </c:pt>
                <c:pt idx="5">
                  <c:v>3556.6869696969698</c:v>
                </c:pt>
                <c:pt idx="6">
                  <c:v>3841.5836111111098</c:v>
                </c:pt>
                <c:pt idx="7">
                  <c:v>4195.8465000000006</c:v>
                </c:pt>
                <c:pt idx="8">
                  <c:v>4452.1252380952374</c:v>
                </c:pt>
                <c:pt idx="9">
                  <c:v>4188.12</c:v>
                </c:pt>
                <c:pt idx="10">
                  <c:v>3978.661025641024</c:v>
                </c:pt>
                <c:pt idx="11">
                  <c:v>3716.9824390243903</c:v>
                </c:pt>
                <c:pt idx="12">
                  <c:v>3738.0051063829778</c:v>
                </c:pt>
              </c:numCache>
            </c:numRef>
          </c:val>
          <c:smooth val="0"/>
          <c:extLst>
            <c:ext xmlns:c16="http://schemas.microsoft.com/office/drawing/2014/chart" uri="{C3380CC4-5D6E-409C-BE32-E72D297353CC}">
              <c16:uniqueId val="{00000000-B0F7-4F3D-AD39-5FC24C3F1011}"/>
            </c:ext>
          </c:extLst>
        </c:ser>
        <c:dLbls>
          <c:showLegendKey val="0"/>
          <c:showVal val="0"/>
          <c:showCatName val="0"/>
          <c:showSerName val="0"/>
          <c:showPercent val="0"/>
          <c:showBubbleSize val="0"/>
        </c:dLbls>
        <c:smooth val="0"/>
        <c:axId val="2077138031"/>
        <c:axId val="2070257103"/>
      </c:lineChart>
      <c:catAx>
        <c:axId val="207713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257103"/>
        <c:crosses val="autoZero"/>
        <c:auto val="1"/>
        <c:lblAlgn val="ctr"/>
        <c:lblOffset val="100"/>
        <c:noMultiLvlLbl val="0"/>
      </c:catAx>
      <c:valAx>
        <c:axId val="207025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3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231147</xdr:colOff>
      <xdr:row>4</xdr:row>
      <xdr:rowOff>58095</xdr:rowOff>
    </xdr:from>
    <xdr:to>
      <xdr:col>7</xdr:col>
      <xdr:colOff>616857</xdr:colOff>
      <xdr:row>17</xdr:row>
      <xdr:rowOff>164448</xdr:rowOff>
    </xdr:to>
    <xdr:graphicFrame macro="">
      <xdr:nvGraphicFramePr>
        <xdr:cNvPr id="2" name="Chart 1">
          <a:extLst>
            <a:ext uri="{FF2B5EF4-FFF2-40B4-BE49-F238E27FC236}">
              <a16:creationId xmlns:a16="http://schemas.microsoft.com/office/drawing/2014/main" id="{25CC3E65-DF93-4D42-8DAD-47A323754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238890</xdr:colOff>
      <xdr:row>4</xdr:row>
      <xdr:rowOff>55672</xdr:rowOff>
    </xdr:from>
    <xdr:to>
      <xdr:col>15</xdr:col>
      <xdr:colOff>381000</xdr:colOff>
      <xdr:row>17</xdr:row>
      <xdr:rowOff>131885</xdr:rowOff>
    </xdr:to>
    <xdr:graphicFrame macro="">
      <xdr:nvGraphicFramePr>
        <xdr:cNvPr id="3" name="Chart 2">
          <a:extLst>
            <a:ext uri="{FF2B5EF4-FFF2-40B4-BE49-F238E27FC236}">
              <a16:creationId xmlns:a16="http://schemas.microsoft.com/office/drawing/2014/main" id="{F0A3ECC0-6DFB-4F6B-8013-BA20B4A87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195022</xdr:colOff>
      <xdr:row>18</xdr:row>
      <xdr:rowOff>152268</xdr:rowOff>
    </xdr:from>
    <xdr:to>
      <xdr:col>7</xdr:col>
      <xdr:colOff>498785</xdr:colOff>
      <xdr:row>33</xdr:row>
      <xdr:rowOff>35447</xdr:rowOff>
    </xdr:to>
    <xdr:graphicFrame macro="">
      <xdr:nvGraphicFramePr>
        <xdr:cNvPr id="4" name="Chart 3">
          <a:extLst>
            <a:ext uri="{FF2B5EF4-FFF2-40B4-BE49-F238E27FC236}">
              <a16:creationId xmlns:a16="http://schemas.microsoft.com/office/drawing/2014/main" id="{79FAE192-49D3-4036-9788-0439375F8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239396</xdr:colOff>
      <xdr:row>18</xdr:row>
      <xdr:rowOff>149771</xdr:rowOff>
    </xdr:from>
    <xdr:to>
      <xdr:col>15</xdr:col>
      <xdr:colOff>366347</xdr:colOff>
      <xdr:row>33</xdr:row>
      <xdr:rowOff>14654</xdr:rowOff>
    </xdr:to>
    <xdr:graphicFrame macro="">
      <xdr:nvGraphicFramePr>
        <xdr:cNvPr id="5" name="Chart 4">
          <a:extLst>
            <a:ext uri="{FF2B5EF4-FFF2-40B4-BE49-F238E27FC236}">
              <a16:creationId xmlns:a16="http://schemas.microsoft.com/office/drawing/2014/main" id="{8BA2D2B5-E219-4C50-9FF2-517164841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596481</xdr:colOff>
      <xdr:row>3</xdr:row>
      <xdr:rowOff>178327</xdr:rowOff>
    </xdr:from>
    <xdr:to>
      <xdr:col>23</xdr:col>
      <xdr:colOff>491506</xdr:colOff>
      <xdr:row>16</xdr:row>
      <xdr:rowOff>183532</xdr:rowOff>
    </xdr:to>
    <xdr:graphicFrame macro="">
      <xdr:nvGraphicFramePr>
        <xdr:cNvPr id="6" name="Chart 5">
          <a:extLst>
            <a:ext uri="{FF2B5EF4-FFF2-40B4-BE49-F238E27FC236}">
              <a16:creationId xmlns:a16="http://schemas.microsoft.com/office/drawing/2014/main" id="{CAC00FB9-56C0-4837-964A-96A9A96F3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76454</xdr:colOff>
      <xdr:row>19</xdr:row>
      <xdr:rowOff>16258</xdr:rowOff>
    </xdr:from>
    <xdr:to>
      <xdr:col>23</xdr:col>
      <xdr:colOff>69907</xdr:colOff>
      <xdr:row>32</xdr:row>
      <xdr:rowOff>6006</xdr:rowOff>
    </xdr:to>
    <xdr:graphicFrame macro="">
      <xdr:nvGraphicFramePr>
        <xdr:cNvPr id="7" name="Chart 6">
          <a:extLst>
            <a:ext uri="{FF2B5EF4-FFF2-40B4-BE49-F238E27FC236}">
              <a16:creationId xmlns:a16="http://schemas.microsoft.com/office/drawing/2014/main" id="{794D79D5-FAC7-4AE1-B32A-A166D6975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297649</xdr:colOff>
      <xdr:row>6</xdr:row>
      <xdr:rowOff>53659</xdr:rowOff>
    </xdr:from>
    <xdr:to>
      <xdr:col>27</xdr:col>
      <xdr:colOff>228629</xdr:colOff>
      <xdr:row>17</xdr:row>
      <xdr:rowOff>25225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42DB0F70-F42D-4A59-84C7-E1F8D4281FA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5269758" y="1407995"/>
              <a:ext cx="1761566" cy="2099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597620</xdr:colOff>
      <xdr:row>8</xdr:row>
      <xdr:rowOff>176873</xdr:rowOff>
    </xdr:from>
    <xdr:to>
      <xdr:col>30</xdr:col>
      <xdr:colOff>267571</xdr:colOff>
      <xdr:row>14</xdr:row>
      <xdr:rowOff>176050</xdr:rowOff>
    </xdr:to>
    <mc:AlternateContent xmlns:mc="http://schemas.openxmlformats.org/markup-compatibility/2006">
      <mc:Choice xmlns:a14="http://schemas.microsoft.com/office/drawing/2010/main" Requires="a14">
        <xdr:graphicFrame macro="">
          <xdr:nvGraphicFramePr>
            <xdr:cNvPr id="9" name="Season">
              <a:extLst>
                <a:ext uri="{FF2B5EF4-FFF2-40B4-BE49-F238E27FC236}">
                  <a16:creationId xmlns:a16="http://schemas.microsoft.com/office/drawing/2014/main" id="{318F82C2-4D34-4622-B687-19CD57D4E3F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7400315" y="1918162"/>
              <a:ext cx="1500537" cy="116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359140</xdr:colOff>
      <xdr:row>22</xdr:row>
      <xdr:rowOff>164665</xdr:rowOff>
    </xdr:from>
    <xdr:to>
      <xdr:col>31</xdr:col>
      <xdr:colOff>150491</xdr:colOff>
      <xdr:row>33</xdr:row>
      <xdr:rowOff>25798</xdr:rowOff>
    </xdr:to>
    <mc:AlternateContent xmlns:mc="http://schemas.openxmlformats.org/markup-compatibility/2006">
      <mc:Choice xmlns:a14="http://schemas.microsoft.com/office/drawing/2010/main" Requires="a14">
        <xdr:graphicFrame macro="">
          <xdr:nvGraphicFramePr>
            <xdr:cNvPr id="10" name="Crop Name">
              <a:extLst>
                <a:ext uri="{FF2B5EF4-FFF2-40B4-BE49-F238E27FC236}">
                  <a16:creationId xmlns:a16="http://schemas.microsoft.com/office/drawing/2014/main" id="{73BA1AA8-9BDF-45DE-AC3A-A01CD8E5CF27}"/>
                </a:ext>
              </a:extLst>
            </xdr:cNvPr>
            <xdr:cNvGraphicFramePr/>
          </xdr:nvGraphicFramePr>
          <xdr:xfrm>
            <a:off x="0" y="0"/>
            <a:ext cx="0" cy="0"/>
          </xdr:xfrm>
          <a:graphic>
            <a:graphicData uri="http://schemas.microsoft.com/office/drawing/2010/slicer">
              <sle:slicer xmlns:sle="http://schemas.microsoft.com/office/drawing/2010/slicer" name="Crop Name"/>
            </a:graphicData>
          </a:graphic>
        </xdr:graphicFrame>
      </mc:Choice>
      <mc:Fallback>
        <xdr:sp macro="" textlink="">
          <xdr:nvSpPr>
            <xdr:cNvPr id="0" name=""/>
            <xdr:cNvSpPr>
              <a:spLocks noTextEdit="1"/>
            </xdr:cNvSpPr>
          </xdr:nvSpPr>
          <xdr:spPr>
            <a:xfrm>
              <a:off x="17772031" y="4614626"/>
              <a:ext cx="1621937" cy="198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413482</xdr:colOff>
      <xdr:row>24</xdr:row>
      <xdr:rowOff>38042</xdr:rowOff>
    </xdr:from>
    <xdr:to>
      <xdr:col>27</xdr:col>
      <xdr:colOff>467446</xdr:colOff>
      <xdr:row>31</xdr:row>
      <xdr:rowOff>86552</xdr:rowOff>
    </xdr:to>
    <mc:AlternateContent xmlns:mc="http://schemas.openxmlformats.org/markup-compatibility/2006">
      <mc:Choice xmlns:a14="http://schemas.microsoft.com/office/drawing/2010/main" Requires="a14">
        <xdr:graphicFrame macro="">
          <xdr:nvGraphicFramePr>
            <xdr:cNvPr id="11" name="Irrigation Type">
              <a:extLst>
                <a:ext uri="{FF2B5EF4-FFF2-40B4-BE49-F238E27FC236}">
                  <a16:creationId xmlns:a16="http://schemas.microsoft.com/office/drawing/2014/main" id="{0D120359-59A8-48C0-A83A-D2475B1A31F3}"/>
                </a:ext>
              </a:extLst>
            </xdr:cNvPr>
            <xdr:cNvGraphicFramePr/>
          </xdr:nvGraphicFramePr>
          <xdr:xfrm>
            <a:off x="0" y="0"/>
            <a:ext cx="0" cy="0"/>
          </xdr:xfrm>
          <a:graphic>
            <a:graphicData uri="http://schemas.microsoft.com/office/drawing/2010/slicer">
              <sle:slicer xmlns:sle="http://schemas.microsoft.com/office/drawing/2010/slicer" name="Irrigation Type"/>
            </a:graphicData>
          </a:graphic>
        </xdr:graphicFrame>
      </mc:Choice>
      <mc:Fallback>
        <xdr:sp macro="" textlink="">
          <xdr:nvSpPr>
            <xdr:cNvPr id="0" name=""/>
            <xdr:cNvSpPr>
              <a:spLocks noTextEdit="1"/>
            </xdr:cNvSpPr>
          </xdr:nvSpPr>
          <xdr:spPr>
            <a:xfrm>
              <a:off x="15385591" y="4874956"/>
              <a:ext cx="1884550" cy="1402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raju" refreshedDate="46268.823852199072" createdVersion="8" refreshedVersion="8" minRefreshableVersion="3" recordCount="500" xr:uid="{27052716-3CDB-42D2-AA6D-276EE2E1C6DA}">
  <cacheSource type="worksheet">
    <worksheetSource ref="A1:R501" sheet="Cleaned_data"/>
  </cacheSource>
  <cacheFields count="18">
    <cacheField name="Crop ID" numFmtId="0">
      <sharedItems/>
    </cacheField>
    <cacheField name="Date" numFmtId="14">
      <sharedItems containsSemiMixedTypes="0" containsNonDate="0" containsDate="1" containsString="0" minDate="2010-04-03T00:00:00" maxDate="2023-03-16T00:00:00"/>
    </cacheField>
    <cacheField name="Year" numFmtId="0">
      <sharedItems containsSemiMixedTypes="0" containsString="0" containsNumber="1" containsInteger="1" minValue="2010" maxValue="2022" count="13">
        <n v="2010"/>
        <n v="2013"/>
        <n v="2012"/>
        <n v="2018"/>
        <n v="2016"/>
        <n v="2011"/>
        <n v="2017"/>
        <n v="2022"/>
        <n v="2021"/>
        <n v="2014"/>
        <n v="2015"/>
        <n v="2020"/>
        <n v="2019"/>
      </sharedItems>
    </cacheField>
    <cacheField name="State" numFmtId="0">
      <sharedItems count="7">
        <s v="Uttar Pradesh"/>
        <s v="Punjab"/>
        <s v="Maharashtra"/>
        <s v="Karnataka"/>
        <s v="West Bengal"/>
        <s v="Bihar"/>
        <s v="Haryana"/>
      </sharedItems>
    </cacheField>
    <cacheField name="Zone" numFmtId="0">
      <sharedItems count="4">
        <s v="North"/>
        <s v="West"/>
        <s v="South"/>
        <s v="East"/>
      </sharedItems>
    </cacheField>
    <cacheField name="District" numFmtId="0">
      <sharedItems/>
    </cacheField>
    <cacheField name="Season" numFmtId="0">
      <sharedItems count="3">
        <s v="Zaid"/>
        <s v="Kharif"/>
        <s v="Rabi"/>
      </sharedItems>
    </cacheField>
    <cacheField name="Crop Name" numFmtId="0">
      <sharedItems count="6">
        <s v="Maize"/>
        <s v="Pulses"/>
        <s v="Cotton"/>
        <s v="Sugarcane"/>
        <s v="Rice"/>
        <s v="Wheat"/>
      </sharedItems>
    </cacheField>
    <cacheField name="Area (Hectares)" numFmtId="0">
      <sharedItems containsSemiMixedTypes="0" containsString="0" containsNumber="1" minValue="1.02" maxValue="99.72"/>
    </cacheField>
    <cacheField name="Production (Tonnes)" numFmtId="0">
      <sharedItems containsSemiMixedTypes="0" containsString="0" containsNumber="1" minValue="1.58" maxValue="668.98"/>
    </cacheField>
    <cacheField name="Yield (Kg/Ha)" numFmtId="0">
      <sharedItems containsSemiMixedTypes="0" containsString="0" containsNumber="1" minValue="1015.41" maxValue="6990.6"/>
    </cacheField>
    <cacheField name="Yield Category" numFmtId="0">
      <sharedItems/>
    </cacheField>
    <cacheField name="Irrigation Type" numFmtId="0">
      <sharedItems count="4">
        <s v="Canal"/>
        <s v="Drip"/>
        <s v="Rainfed"/>
        <s v="Borewell"/>
      </sharedItems>
    </cacheField>
    <cacheField name="Fertilizer Type" numFmtId="0">
      <sharedItems/>
    </cacheField>
    <cacheField name="Fertilizer Used (Kg)" numFmtId="0">
      <sharedItems containsSemiMixedTypes="0" containsString="0" containsNumber="1" minValue="51.64" maxValue="299.98"/>
    </cacheField>
    <cacheField name="Rainfall (mm)" numFmtId="0">
      <sharedItems containsSemiMixedTypes="0" containsString="0" containsNumber="1" minValue="201.46" maxValue="1198.45"/>
    </cacheField>
    <cacheField name="Soil Type" numFmtId="0">
      <sharedItems/>
    </cacheField>
    <cacheField name="Temperature (Celsius)" numFmtId="0">
      <sharedItems containsSemiMixedTypes="0" containsString="0" containsNumber="1" minValue="20.02" maxValue="34.979999999999997"/>
    </cacheField>
  </cacheFields>
  <extLst>
    <ext xmlns:x14="http://schemas.microsoft.com/office/spreadsheetml/2009/9/main" uri="{725AE2AE-9491-48be-B2B4-4EB974FC3084}">
      <x14:pivotCacheDefinition pivotCacheId="1131147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
    <d v="2010-04-03T00:00:00"/>
    <x v="0"/>
    <x v="0"/>
    <x v="0"/>
    <s v="Lucknow"/>
    <x v="0"/>
    <x v="0"/>
    <n v="25.24"/>
    <n v="46.37"/>
    <n v="1837.23"/>
    <s v="Low"/>
    <x v="0"/>
    <s v="Urea"/>
    <n v="219.17"/>
    <n v="1092.18"/>
    <s v="Black"/>
    <n v="28.86"/>
  </r>
  <r>
    <s v="CID2"/>
    <d v="2013-04-11T00:00:00"/>
    <x v="1"/>
    <x v="1"/>
    <x v="0"/>
    <s v="Ludhiana"/>
    <x v="0"/>
    <x v="1"/>
    <n v="3.63"/>
    <n v="7.96"/>
    <n v="2193.0300000000002"/>
    <s v="Low"/>
    <x v="1"/>
    <s v="Compost"/>
    <n v="105.11"/>
    <n v="789.27"/>
    <s v="Black"/>
    <n v="31.38"/>
  </r>
  <r>
    <s v="CID3"/>
    <d v="2012-10-16T00:00:00"/>
    <x v="2"/>
    <x v="2"/>
    <x v="1"/>
    <s v="Pune"/>
    <x v="1"/>
    <x v="0"/>
    <n v="11.12"/>
    <n v="36.47"/>
    <n v="3279.56"/>
    <s v="Medium"/>
    <x v="2"/>
    <s v="Urea"/>
    <n v="261.87"/>
    <n v="803.73"/>
    <s v="Black"/>
    <n v="30.95"/>
  </r>
  <r>
    <s v="CID4"/>
    <d v="2018-11-21T00:00:00"/>
    <x v="3"/>
    <x v="3"/>
    <x v="2"/>
    <s v="Bangalore"/>
    <x v="2"/>
    <x v="2"/>
    <n v="62.23"/>
    <n v="383.97"/>
    <n v="6170.24"/>
    <s v="High"/>
    <x v="3"/>
    <s v="DAP"/>
    <n v="226.14"/>
    <n v="245.82"/>
    <s v="Red"/>
    <n v="31.6"/>
  </r>
  <r>
    <s v="CID5"/>
    <d v="2016-12-14T00:00:00"/>
    <x v="4"/>
    <x v="4"/>
    <x v="3"/>
    <s v="Kolkata"/>
    <x v="2"/>
    <x v="3"/>
    <n v="63.93"/>
    <n v="203.87"/>
    <n v="3188.99"/>
    <s v="Medium"/>
    <x v="2"/>
    <s v="Vermicompost"/>
    <n v="138.82"/>
    <n v="870.18"/>
    <s v="Black"/>
    <n v="29.14"/>
  </r>
  <r>
    <s v="CID6"/>
    <d v="2012-11-09T00:00:00"/>
    <x v="2"/>
    <x v="0"/>
    <x v="0"/>
    <s v="Lucknow"/>
    <x v="2"/>
    <x v="3"/>
    <n v="27.72"/>
    <n v="181.63"/>
    <n v="6552.35"/>
    <s v="High"/>
    <x v="3"/>
    <s v="NPK"/>
    <n v="221.15"/>
    <n v="1042.8499999999999"/>
    <s v="Black"/>
    <n v="23.44"/>
  </r>
  <r>
    <s v="CID7"/>
    <d v="2011-07-06T00:00:00"/>
    <x v="5"/>
    <x v="3"/>
    <x v="2"/>
    <s v="Mysore"/>
    <x v="1"/>
    <x v="1"/>
    <n v="87.76"/>
    <n v="253.46"/>
    <n v="2888.07"/>
    <s v="Low"/>
    <x v="1"/>
    <s v="DAP"/>
    <n v="148.91"/>
    <n v="1114.55"/>
    <s v="Laterite"/>
    <n v="22.14"/>
  </r>
  <r>
    <s v="CID8"/>
    <d v="2018-11-24T00:00:00"/>
    <x v="3"/>
    <x v="0"/>
    <x v="0"/>
    <s v="Varanasi"/>
    <x v="2"/>
    <x v="2"/>
    <n v="58.87"/>
    <n v="376"/>
    <n v="6386.94"/>
    <s v="High"/>
    <x v="1"/>
    <s v="Urea"/>
    <n v="140.5"/>
    <n v="1197.33"/>
    <s v="Red"/>
    <n v="27.64"/>
  </r>
  <r>
    <s v="CID9"/>
    <d v="2012-05-06T00:00:00"/>
    <x v="2"/>
    <x v="4"/>
    <x v="3"/>
    <s v="Kolkata"/>
    <x v="0"/>
    <x v="4"/>
    <n v="79.42"/>
    <n v="280.58999999999997"/>
    <n v="3532.96"/>
    <s v="Medium"/>
    <x v="0"/>
    <s v="Urea"/>
    <n v="146.19"/>
    <n v="795.89"/>
    <s v="Laterite"/>
    <n v="27.94"/>
  </r>
  <r>
    <s v="CID10"/>
    <d v="2011-05-17T00:00:00"/>
    <x v="5"/>
    <x v="0"/>
    <x v="0"/>
    <s v="Varanasi"/>
    <x v="0"/>
    <x v="1"/>
    <n v="75.34"/>
    <n v="422.78"/>
    <n v="5611.59"/>
    <s v="High"/>
    <x v="2"/>
    <s v="NPK"/>
    <n v="77.89"/>
    <n v="634.77"/>
    <s v="Laterite"/>
    <n v="20.05"/>
  </r>
  <r>
    <s v="CID11"/>
    <d v="2018-10-14T00:00:00"/>
    <x v="3"/>
    <x v="5"/>
    <x v="3"/>
    <s v="Patna"/>
    <x v="1"/>
    <x v="2"/>
    <n v="30.55"/>
    <n v="147.66999999999999"/>
    <n v="4833.7"/>
    <s v="Medium"/>
    <x v="3"/>
    <s v="Urea"/>
    <n v="88.21"/>
    <n v="962.51"/>
    <s v="Sandy"/>
    <n v="34.299999999999997"/>
  </r>
  <r>
    <s v="CID12"/>
    <d v="2017-06-22T00:00:00"/>
    <x v="6"/>
    <x v="5"/>
    <x v="3"/>
    <s v="Gaya"/>
    <x v="1"/>
    <x v="5"/>
    <n v="92.98"/>
    <n v="583.20000000000005"/>
    <n v="6272.33"/>
    <s v="High"/>
    <x v="2"/>
    <s v="Compost"/>
    <n v="109.86"/>
    <n v="440.87"/>
    <s v="Sandy"/>
    <n v="34.200000000000003"/>
  </r>
  <r>
    <s v="CID13"/>
    <d v="2022-05-30T00:00:00"/>
    <x v="7"/>
    <x v="4"/>
    <x v="3"/>
    <s v="Kolkata"/>
    <x v="0"/>
    <x v="4"/>
    <n v="13.71"/>
    <n v="52.81"/>
    <n v="3851.69"/>
    <s v="Medium"/>
    <x v="3"/>
    <s v="Vermicompost"/>
    <n v="116.26"/>
    <n v="1072.43"/>
    <s v="Laterite"/>
    <n v="34.47"/>
  </r>
  <r>
    <s v="CID14"/>
    <d v="2021-06-17T00:00:00"/>
    <x v="8"/>
    <x v="4"/>
    <x v="3"/>
    <s v="Darjeeling"/>
    <x v="1"/>
    <x v="2"/>
    <n v="31.86"/>
    <n v="222.09"/>
    <n v="6970.9"/>
    <s v="High"/>
    <x v="2"/>
    <s v="NPK"/>
    <n v="159.53"/>
    <n v="717.58"/>
    <s v="Black"/>
    <n v="23.72"/>
  </r>
  <r>
    <s v="CID15"/>
    <d v="2018-07-31T00:00:00"/>
    <x v="3"/>
    <x v="1"/>
    <x v="0"/>
    <s v="Patiala"/>
    <x v="1"/>
    <x v="1"/>
    <n v="22.8"/>
    <n v="32.51"/>
    <n v="1425.96"/>
    <s v="Low"/>
    <x v="0"/>
    <s v="NPK"/>
    <n v="107.24"/>
    <n v="1105.42"/>
    <s v="Alluvial"/>
    <n v="21.06"/>
  </r>
  <r>
    <s v="CID16"/>
    <d v="2013-04-07T00:00:00"/>
    <x v="1"/>
    <x v="0"/>
    <x v="0"/>
    <s v="Kanpur"/>
    <x v="0"/>
    <x v="4"/>
    <n v="72.61"/>
    <n v="457.03"/>
    <n v="6294.3"/>
    <s v="High"/>
    <x v="1"/>
    <s v="Compost"/>
    <n v="110.75"/>
    <n v="672.97"/>
    <s v="Laterite"/>
    <n v="22.86"/>
  </r>
  <r>
    <s v="CID17"/>
    <d v="2016-12-19T00:00:00"/>
    <x v="4"/>
    <x v="2"/>
    <x v="1"/>
    <s v="Pune"/>
    <x v="2"/>
    <x v="2"/>
    <n v="6.36"/>
    <n v="31.3"/>
    <n v="4920.7299999999996"/>
    <s v="Medium"/>
    <x v="0"/>
    <s v="Vermicompost"/>
    <n v="65.150000000000006"/>
    <n v="928.21"/>
    <s v="Black"/>
    <n v="23.73"/>
  </r>
  <r>
    <s v="CID18"/>
    <d v="2016-10-17T00:00:00"/>
    <x v="4"/>
    <x v="3"/>
    <x v="2"/>
    <s v="Bangalore"/>
    <x v="1"/>
    <x v="0"/>
    <n v="46.8"/>
    <n v="292.36"/>
    <n v="6246.92"/>
    <s v="High"/>
    <x v="0"/>
    <s v="Urea"/>
    <n v="160.78"/>
    <n v="1061.3499999999999"/>
    <s v="Sandy"/>
    <n v="21.47"/>
  </r>
  <r>
    <s v="CID19"/>
    <d v="2013-02-25T00:00:00"/>
    <x v="2"/>
    <x v="1"/>
    <x v="0"/>
    <s v="Ludhiana"/>
    <x v="2"/>
    <x v="3"/>
    <n v="48.65"/>
    <n v="301.04000000000002"/>
    <n v="6187.9"/>
    <s v="High"/>
    <x v="0"/>
    <s v="NPK"/>
    <n v="91.16"/>
    <n v="202.16"/>
    <s v="Laterite"/>
    <n v="23.98"/>
  </r>
  <r>
    <s v="CID20"/>
    <d v="2021-04-21T00:00:00"/>
    <x v="8"/>
    <x v="3"/>
    <x v="2"/>
    <s v="Hubli"/>
    <x v="0"/>
    <x v="2"/>
    <n v="72.12"/>
    <n v="139.1"/>
    <n v="1928.78"/>
    <s v="Low"/>
    <x v="2"/>
    <s v="Urea"/>
    <n v="104.43"/>
    <n v="258.48"/>
    <s v="Sandy"/>
    <n v="20.91"/>
  </r>
  <r>
    <s v="CID21"/>
    <d v="2017-04-16T00:00:00"/>
    <x v="6"/>
    <x v="1"/>
    <x v="0"/>
    <s v="Patiala"/>
    <x v="0"/>
    <x v="1"/>
    <n v="16.59"/>
    <n v="112.23"/>
    <n v="6764.67"/>
    <s v="High"/>
    <x v="0"/>
    <s v="Compost"/>
    <n v="262.83999999999997"/>
    <n v="268.52"/>
    <s v="Black"/>
    <n v="30.13"/>
  </r>
  <r>
    <s v="CID22"/>
    <d v="2013-04-26T00:00:00"/>
    <x v="1"/>
    <x v="1"/>
    <x v="0"/>
    <s v="Patiala"/>
    <x v="0"/>
    <x v="1"/>
    <n v="4.93"/>
    <n v="7.36"/>
    <n v="1491.9"/>
    <s v="Low"/>
    <x v="2"/>
    <s v="DAP"/>
    <n v="283.68"/>
    <n v="404.26"/>
    <s v="Alluvial"/>
    <n v="23.58"/>
  </r>
  <r>
    <s v="CID23"/>
    <d v="2014-12-25T00:00:00"/>
    <x v="9"/>
    <x v="0"/>
    <x v="0"/>
    <s v="Varanasi"/>
    <x v="2"/>
    <x v="0"/>
    <n v="92.97"/>
    <n v="614.94000000000005"/>
    <n v="6614.41"/>
    <s v="High"/>
    <x v="0"/>
    <s v="Vermicompost"/>
    <n v="164.57"/>
    <n v="1198.45"/>
    <s v="Black"/>
    <n v="21.1"/>
  </r>
  <r>
    <s v="CID24"/>
    <d v="2015-10-20T00:00:00"/>
    <x v="10"/>
    <x v="2"/>
    <x v="1"/>
    <s v="Nagpur"/>
    <x v="1"/>
    <x v="4"/>
    <n v="37.58"/>
    <n v="73.150000000000006"/>
    <n v="1946.48"/>
    <s v="Low"/>
    <x v="2"/>
    <s v="NPK"/>
    <n v="202.92"/>
    <n v="1187.23"/>
    <s v="Sandy"/>
    <n v="20.12"/>
  </r>
  <r>
    <s v="CID25"/>
    <d v="2013-01-07T00:00:00"/>
    <x v="2"/>
    <x v="0"/>
    <x v="0"/>
    <s v="Lucknow"/>
    <x v="2"/>
    <x v="5"/>
    <n v="89.08"/>
    <n v="485.89"/>
    <n v="5454.5"/>
    <s v="High"/>
    <x v="3"/>
    <s v="Vermicompost"/>
    <n v="118.09"/>
    <n v="804.83"/>
    <s v="Alluvial"/>
    <n v="23.05"/>
  </r>
  <r>
    <s v="CID26"/>
    <d v="2010-09-22T00:00:00"/>
    <x v="0"/>
    <x v="3"/>
    <x v="2"/>
    <s v="Mysore"/>
    <x v="1"/>
    <x v="2"/>
    <n v="42.93"/>
    <n v="114.2"/>
    <n v="2660.08"/>
    <s v="Low"/>
    <x v="0"/>
    <s v="Vermicompost"/>
    <n v="133.38999999999999"/>
    <n v="330.82"/>
    <s v="Alluvial"/>
    <n v="22.42"/>
  </r>
  <r>
    <s v="CID27"/>
    <d v="2018-09-19T00:00:00"/>
    <x v="3"/>
    <x v="0"/>
    <x v="0"/>
    <s v="Kanpur"/>
    <x v="1"/>
    <x v="5"/>
    <n v="8.4499999999999993"/>
    <n v="53.22"/>
    <n v="6298.64"/>
    <s v="High"/>
    <x v="3"/>
    <s v="DAP"/>
    <n v="186.4"/>
    <n v="1034.5999999999999"/>
    <s v="Sandy"/>
    <n v="28.29"/>
  </r>
  <r>
    <s v="CID28"/>
    <d v="2015-07-10T00:00:00"/>
    <x v="10"/>
    <x v="1"/>
    <x v="0"/>
    <s v="Amritsar"/>
    <x v="1"/>
    <x v="0"/>
    <n v="21.8"/>
    <n v="54.44"/>
    <n v="2497.1799999999998"/>
    <s v="Low"/>
    <x v="0"/>
    <s v="DAP"/>
    <n v="138.41999999999999"/>
    <n v="759.88"/>
    <s v="Laterite"/>
    <n v="34.61"/>
  </r>
  <r>
    <s v="CID29"/>
    <d v="2022-06-28T00:00:00"/>
    <x v="7"/>
    <x v="4"/>
    <x v="3"/>
    <s v="Kolkata"/>
    <x v="1"/>
    <x v="3"/>
    <n v="3.45"/>
    <n v="18.7"/>
    <n v="5419.39"/>
    <s v="High"/>
    <x v="2"/>
    <s v="Compost"/>
    <n v="245.6"/>
    <n v="611.71"/>
    <s v="Red"/>
    <n v="24"/>
  </r>
  <r>
    <s v="CID30"/>
    <d v="2017-07-20T00:00:00"/>
    <x v="6"/>
    <x v="4"/>
    <x v="3"/>
    <s v="Kolkata"/>
    <x v="1"/>
    <x v="4"/>
    <n v="81.84"/>
    <n v="307.87"/>
    <n v="3761.82"/>
    <s v="Medium"/>
    <x v="2"/>
    <s v="Compost"/>
    <n v="255.13"/>
    <n v="1071.32"/>
    <s v="Red"/>
    <n v="20.350000000000001"/>
  </r>
  <r>
    <s v="CID31"/>
    <d v="2012-01-07T00:00:00"/>
    <x v="5"/>
    <x v="2"/>
    <x v="1"/>
    <s v="Pune"/>
    <x v="2"/>
    <x v="0"/>
    <n v="64.510000000000005"/>
    <n v="219.21"/>
    <n v="3398.07"/>
    <s v="Medium"/>
    <x v="2"/>
    <s v="Urea"/>
    <n v="284.81"/>
    <n v="315.33999999999997"/>
    <s v="Alluvial"/>
    <n v="22.68"/>
  </r>
  <r>
    <s v="CID32"/>
    <d v="2017-02-20T00:00:00"/>
    <x v="4"/>
    <x v="1"/>
    <x v="0"/>
    <s v="Patiala"/>
    <x v="2"/>
    <x v="2"/>
    <n v="78.86"/>
    <n v="285.33999999999997"/>
    <n v="3618.36"/>
    <s v="Medium"/>
    <x v="0"/>
    <s v="Urea"/>
    <n v="146.30000000000001"/>
    <n v="776.59"/>
    <s v="Alluvial"/>
    <n v="20.67"/>
  </r>
  <r>
    <s v="CID33"/>
    <d v="2020-05-13T00:00:00"/>
    <x v="11"/>
    <x v="5"/>
    <x v="3"/>
    <s v="Bhagalpur"/>
    <x v="0"/>
    <x v="2"/>
    <n v="73.97"/>
    <n v="161.41999999999999"/>
    <n v="2182.21"/>
    <s v="Low"/>
    <x v="1"/>
    <s v="Urea"/>
    <n v="67.489999999999995"/>
    <n v="864.24"/>
    <s v="Alluvial"/>
    <n v="29.35"/>
  </r>
  <r>
    <s v="CID34"/>
    <d v="2018-12-15T00:00:00"/>
    <x v="3"/>
    <x v="0"/>
    <x v="0"/>
    <s v="Kanpur"/>
    <x v="2"/>
    <x v="2"/>
    <n v="41.43"/>
    <n v="141.46"/>
    <n v="3414.4"/>
    <s v="Medium"/>
    <x v="2"/>
    <s v="Vermicompost"/>
    <n v="188.6"/>
    <n v="391.84"/>
    <s v="Laterite"/>
    <n v="30.16"/>
  </r>
  <r>
    <s v="CID35"/>
    <d v="2016-05-21T00:00:00"/>
    <x v="4"/>
    <x v="5"/>
    <x v="3"/>
    <s v="Gaya"/>
    <x v="0"/>
    <x v="5"/>
    <n v="31.08"/>
    <n v="70.27"/>
    <n v="2261.1"/>
    <s v="Low"/>
    <x v="2"/>
    <s v="DAP"/>
    <n v="166.25"/>
    <n v="642.16"/>
    <s v="Red"/>
    <n v="27.67"/>
  </r>
  <r>
    <s v="CID36"/>
    <d v="2014-04-03T00:00:00"/>
    <x v="9"/>
    <x v="0"/>
    <x v="0"/>
    <s v="Lucknow"/>
    <x v="0"/>
    <x v="2"/>
    <n v="63.66"/>
    <n v="191.69"/>
    <n v="3011.13"/>
    <s v="Medium"/>
    <x v="3"/>
    <s v="DAP"/>
    <n v="218.2"/>
    <n v="424.64"/>
    <s v="Red"/>
    <n v="22.21"/>
  </r>
  <r>
    <s v="CID37"/>
    <d v="2022-06-02T00:00:00"/>
    <x v="7"/>
    <x v="3"/>
    <x v="2"/>
    <s v="Hubli"/>
    <x v="1"/>
    <x v="3"/>
    <n v="42.03"/>
    <n v="200.84"/>
    <n v="4778.59"/>
    <s v="Medium"/>
    <x v="3"/>
    <s v="Urea"/>
    <n v="229.59"/>
    <n v="583.98"/>
    <s v="Laterite"/>
    <n v="23.66"/>
  </r>
  <r>
    <s v="CID38"/>
    <d v="2013-10-14T00:00:00"/>
    <x v="1"/>
    <x v="4"/>
    <x v="3"/>
    <s v="Howrah"/>
    <x v="1"/>
    <x v="2"/>
    <n v="52.28"/>
    <n v="68.03"/>
    <n v="1301.31"/>
    <s v="Low"/>
    <x v="3"/>
    <s v="Vermicompost"/>
    <n v="279.37"/>
    <n v="321.36"/>
    <s v="Red"/>
    <n v="32.020000000000003"/>
  </r>
  <r>
    <s v="CID39"/>
    <d v="2023-03-02T00:00:00"/>
    <x v="7"/>
    <x v="5"/>
    <x v="3"/>
    <s v="Gaya"/>
    <x v="2"/>
    <x v="1"/>
    <n v="81.69"/>
    <n v="518.9"/>
    <n v="6352.12"/>
    <s v="High"/>
    <x v="1"/>
    <s v="Compost"/>
    <n v="257.64"/>
    <n v="747.87"/>
    <s v="Red"/>
    <n v="31.15"/>
  </r>
  <r>
    <s v="CID40"/>
    <d v="2021-03-19T00:00:00"/>
    <x v="11"/>
    <x v="2"/>
    <x v="1"/>
    <s v="Nagpur"/>
    <x v="2"/>
    <x v="1"/>
    <n v="48.98"/>
    <n v="119.29"/>
    <n v="2435.48"/>
    <s v="Low"/>
    <x v="1"/>
    <s v="Urea"/>
    <n v="69.37"/>
    <n v="485.73"/>
    <s v="Alluvial"/>
    <n v="25.04"/>
  </r>
  <r>
    <s v="CID41"/>
    <d v="2014-02-16T00:00:00"/>
    <x v="1"/>
    <x v="6"/>
    <x v="0"/>
    <s v="Gurgaon"/>
    <x v="2"/>
    <x v="2"/>
    <n v="16.13"/>
    <n v="36.840000000000003"/>
    <n v="2283.7199999999998"/>
    <s v="Low"/>
    <x v="1"/>
    <s v="Compost"/>
    <n v="151.9"/>
    <n v="742.61"/>
    <s v="Laterite"/>
    <n v="20.93"/>
  </r>
  <r>
    <s v="CID42"/>
    <d v="2021-10-18T00:00:00"/>
    <x v="8"/>
    <x v="4"/>
    <x v="3"/>
    <s v="Darjeeling"/>
    <x v="1"/>
    <x v="1"/>
    <n v="38.659999999999997"/>
    <n v="40.03"/>
    <n v="1035.3800000000001"/>
    <s v="Low"/>
    <x v="2"/>
    <s v="Vermicompost"/>
    <n v="124.65"/>
    <n v="589.99"/>
    <s v="Laterite"/>
    <n v="28.07"/>
  </r>
  <r>
    <s v="CID43"/>
    <d v="2014-03-17T00:00:00"/>
    <x v="1"/>
    <x v="6"/>
    <x v="0"/>
    <s v="Faridabad"/>
    <x v="2"/>
    <x v="3"/>
    <n v="49.08"/>
    <n v="163.59"/>
    <n v="3333.14"/>
    <s v="Medium"/>
    <x v="1"/>
    <s v="Urea"/>
    <n v="231.05"/>
    <n v="1040.51"/>
    <s v="Red"/>
    <n v="34.71"/>
  </r>
  <r>
    <s v="CID44"/>
    <d v="2019-04-21T00:00:00"/>
    <x v="12"/>
    <x v="3"/>
    <x v="2"/>
    <s v="Hubli"/>
    <x v="0"/>
    <x v="5"/>
    <n v="9.31"/>
    <n v="33.25"/>
    <n v="3571.68"/>
    <s v="Medium"/>
    <x v="1"/>
    <s v="NPK"/>
    <n v="95.43"/>
    <n v="460.16"/>
    <s v="Alluvial"/>
    <n v="23.17"/>
  </r>
  <r>
    <s v="CID45"/>
    <d v="2014-11-11T00:00:00"/>
    <x v="9"/>
    <x v="4"/>
    <x v="3"/>
    <s v="Howrah"/>
    <x v="2"/>
    <x v="0"/>
    <n v="83.66"/>
    <n v="319.74"/>
    <n v="3821.84"/>
    <s v="Medium"/>
    <x v="0"/>
    <s v="Urea"/>
    <n v="299.98"/>
    <n v="549.96"/>
    <s v="Black"/>
    <n v="31.72"/>
  </r>
  <r>
    <s v="CID46"/>
    <d v="2010-04-11T00:00:00"/>
    <x v="0"/>
    <x v="6"/>
    <x v="0"/>
    <s v="Gurgaon"/>
    <x v="0"/>
    <x v="4"/>
    <n v="24.62"/>
    <n v="94.57"/>
    <n v="3841.37"/>
    <s v="Medium"/>
    <x v="0"/>
    <s v="Vermicompost"/>
    <n v="190.99"/>
    <n v="417.96"/>
    <s v="Alluvial"/>
    <n v="31.5"/>
  </r>
  <r>
    <s v="CID47"/>
    <d v="2021-07-21T00:00:00"/>
    <x v="8"/>
    <x v="5"/>
    <x v="3"/>
    <s v="Bhagalpur"/>
    <x v="1"/>
    <x v="4"/>
    <n v="96.51"/>
    <n v="159.11000000000001"/>
    <n v="1648.59"/>
    <s v="Low"/>
    <x v="0"/>
    <s v="Urea"/>
    <n v="282.22000000000003"/>
    <n v="775.8"/>
    <s v="Laterite"/>
    <n v="25.95"/>
  </r>
  <r>
    <s v="CID48"/>
    <d v="2020-09-18T00:00:00"/>
    <x v="11"/>
    <x v="5"/>
    <x v="3"/>
    <s v="Bhagalpur"/>
    <x v="1"/>
    <x v="5"/>
    <n v="70.02"/>
    <n v="196.72"/>
    <n v="2809.5"/>
    <s v="Low"/>
    <x v="0"/>
    <s v="NPK"/>
    <n v="249.06"/>
    <n v="765.93"/>
    <s v="Black"/>
    <n v="25.21"/>
  </r>
  <r>
    <s v="CID49"/>
    <d v="2021-02-20T00:00:00"/>
    <x v="11"/>
    <x v="1"/>
    <x v="0"/>
    <s v="Patiala"/>
    <x v="2"/>
    <x v="5"/>
    <n v="85.11"/>
    <n v="505.04"/>
    <n v="5933.99"/>
    <s v="High"/>
    <x v="0"/>
    <s v="DAP"/>
    <n v="158.38"/>
    <n v="562.19000000000005"/>
    <s v="Laterite"/>
    <n v="30.61"/>
  </r>
  <r>
    <s v="CID50"/>
    <d v="2021-01-02T00:00:00"/>
    <x v="11"/>
    <x v="0"/>
    <x v="0"/>
    <s v="Varanasi"/>
    <x v="2"/>
    <x v="1"/>
    <n v="81.010000000000005"/>
    <n v="342.59"/>
    <n v="4229.04"/>
    <s v="Medium"/>
    <x v="1"/>
    <s v="Urea"/>
    <n v="166.22"/>
    <n v="1025.73"/>
    <s v="Sandy"/>
    <n v="24.03"/>
  </r>
  <r>
    <s v="CID51"/>
    <d v="2014-01-06T00:00:00"/>
    <x v="1"/>
    <x v="2"/>
    <x v="1"/>
    <s v="Pune"/>
    <x v="2"/>
    <x v="1"/>
    <n v="61.42"/>
    <n v="201.09"/>
    <n v="3273.94"/>
    <s v="Medium"/>
    <x v="0"/>
    <s v="NPK"/>
    <n v="173.58"/>
    <n v="525.01"/>
    <s v="Laterite"/>
    <n v="23.18"/>
  </r>
  <r>
    <s v="CID52"/>
    <d v="2022-03-02T00:00:00"/>
    <x v="8"/>
    <x v="2"/>
    <x v="1"/>
    <s v="Mumbai"/>
    <x v="2"/>
    <x v="1"/>
    <n v="2"/>
    <n v="13.38"/>
    <n v="6688.38"/>
    <s v="High"/>
    <x v="0"/>
    <s v="Compost"/>
    <n v="110.34"/>
    <n v="606.42999999999995"/>
    <s v="Sandy"/>
    <n v="31.37"/>
  </r>
  <r>
    <s v="CID53"/>
    <d v="2012-03-20T00:00:00"/>
    <x v="5"/>
    <x v="3"/>
    <x v="2"/>
    <s v="Bangalore"/>
    <x v="2"/>
    <x v="4"/>
    <n v="41.04"/>
    <n v="100.95"/>
    <n v="2459.83"/>
    <s v="Low"/>
    <x v="2"/>
    <s v="NPK"/>
    <n v="168.32"/>
    <n v="730.92"/>
    <s v="Laterite"/>
    <n v="34.950000000000003"/>
  </r>
  <r>
    <s v="CID54"/>
    <d v="2018-03-04T00:00:00"/>
    <x v="6"/>
    <x v="2"/>
    <x v="1"/>
    <s v="Mumbai"/>
    <x v="2"/>
    <x v="0"/>
    <n v="25.89"/>
    <n v="44.63"/>
    <n v="1723.94"/>
    <s v="Low"/>
    <x v="3"/>
    <s v="NPK"/>
    <n v="128.88999999999999"/>
    <n v="942.88"/>
    <s v="Red"/>
    <n v="22.87"/>
  </r>
  <r>
    <s v="CID55"/>
    <d v="2022-05-05T00:00:00"/>
    <x v="7"/>
    <x v="0"/>
    <x v="0"/>
    <s v="Varanasi"/>
    <x v="0"/>
    <x v="1"/>
    <n v="29.02"/>
    <n v="46.52"/>
    <n v="1603.16"/>
    <s v="Low"/>
    <x v="3"/>
    <s v="DAP"/>
    <n v="124.06"/>
    <n v="560.88"/>
    <s v="Alluvial"/>
    <n v="20.21"/>
  </r>
  <r>
    <s v="CID56"/>
    <d v="2010-04-29T00:00:00"/>
    <x v="0"/>
    <x v="2"/>
    <x v="1"/>
    <s v="Nagpur"/>
    <x v="0"/>
    <x v="0"/>
    <n v="70.040000000000006"/>
    <n v="123.11"/>
    <n v="1757.68"/>
    <s v="Low"/>
    <x v="1"/>
    <s v="NPK"/>
    <n v="75.650000000000006"/>
    <n v="212.27"/>
    <s v="Alluvial"/>
    <n v="27.04"/>
  </r>
  <r>
    <s v="CID57"/>
    <d v="2015-03-25T00:00:00"/>
    <x v="9"/>
    <x v="6"/>
    <x v="0"/>
    <s v="Gurgaon"/>
    <x v="2"/>
    <x v="5"/>
    <n v="82.39"/>
    <n v="280.48"/>
    <n v="3404.24"/>
    <s v="Medium"/>
    <x v="0"/>
    <s v="NPK"/>
    <n v="194.26"/>
    <n v="886.45"/>
    <s v="Red"/>
    <n v="22.24"/>
  </r>
  <r>
    <s v="CID58"/>
    <d v="2011-05-08T00:00:00"/>
    <x v="5"/>
    <x v="1"/>
    <x v="0"/>
    <s v="Ludhiana"/>
    <x v="0"/>
    <x v="3"/>
    <n v="61.03"/>
    <n v="350.58"/>
    <n v="5744.44"/>
    <s v="High"/>
    <x v="3"/>
    <s v="Compost"/>
    <n v="243.92"/>
    <n v="580.38"/>
    <s v="Laterite"/>
    <n v="24.46"/>
  </r>
  <r>
    <s v="CID59"/>
    <d v="2019-07-15T00:00:00"/>
    <x v="12"/>
    <x v="2"/>
    <x v="1"/>
    <s v="Mumbai"/>
    <x v="1"/>
    <x v="1"/>
    <n v="96.05"/>
    <n v="153.24"/>
    <n v="1595.4"/>
    <s v="Low"/>
    <x v="3"/>
    <s v="Vermicompost"/>
    <n v="206.38"/>
    <n v="464.65"/>
    <s v="Black"/>
    <n v="22.36"/>
  </r>
  <r>
    <s v="CID60"/>
    <d v="2010-12-30T00:00:00"/>
    <x v="0"/>
    <x v="1"/>
    <x v="0"/>
    <s v="Ludhiana"/>
    <x v="2"/>
    <x v="3"/>
    <n v="69.25"/>
    <n v="264.5"/>
    <n v="3819.47"/>
    <s v="Medium"/>
    <x v="0"/>
    <s v="NPK"/>
    <n v="107.87"/>
    <n v="906.96"/>
    <s v="Laterite"/>
    <n v="21.07"/>
  </r>
  <r>
    <s v="CID61"/>
    <d v="2019-05-21T00:00:00"/>
    <x v="12"/>
    <x v="4"/>
    <x v="3"/>
    <s v="Darjeeling"/>
    <x v="0"/>
    <x v="4"/>
    <n v="43.09"/>
    <n v="183.88"/>
    <n v="4267.37"/>
    <s v="Medium"/>
    <x v="3"/>
    <s v="NPK"/>
    <n v="277.10000000000002"/>
    <n v="1026.6300000000001"/>
    <s v="Black"/>
    <n v="20.89"/>
  </r>
  <r>
    <s v="CID62"/>
    <d v="2019-11-11T00:00:00"/>
    <x v="12"/>
    <x v="5"/>
    <x v="3"/>
    <s v="Bhagalpur"/>
    <x v="2"/>
    <x v="3"/>
    <n v="13.31"/>
    <n v="68.31"/>
    <n v="5132.07"/>
    <s v="High"/>
    <x v="1"/>
    <s v="Compost"/>
    <n v="285.67"/>
    <n v="700.47"/>
    <s v="Laterite"/>
    <n v="26.57"/>
  </r>
  <r>
    <s v="CID63"/>
    <d v="2019-12-15T00:00:00"/>
    <x v="12"/>
    <x v="0"/>
    <x v="0"/>
    <s v="Kanpur"/>
    <x v="2"/>
    <x v="5"/>
    <n v="10.039999999999999"/>
    <n v="67.989999999999995"/>
    <n v="6771.47"/>
    <s v="High"/>
    <x v="0"/>
    <s v="Compost"/>
    <n v="299.89"/>
    <n v="872.28"/>
    <s v="Alluvial"/>
    <n v="28.64"/>
  </r>
  <r>
    <s v="CID64"/>
    <d v="2017-11-27T00:00:00"/>
    <x v="6"/>
    <x v="5"/>
    <x v="3"/>
    <s v="Bhagalpur"/>
    <x v="2"/>
    <x v="4"/>
    <n v="99.7"/>
    <n v="360.45"/>
    <n v="3615.31"/>
    <s v="Medium"/>
    <x v="1"/>
    <s v="DAP"/>
    <n v="292.26"/>
    <n v="670.01"/>
    <s v="Laterite"/>
    <n v="25"/>
  </r>
  <r>
    <s v="CID65"/>
    <d v="2022-02-12T00:00:00"/>
    <x v="8"/>
    <x v="2"/>
    <x v="1"/>
    <s v="Pune"/>
    <x v="2"/>
    <x v="0"/>
    <n v="66.599999999999994"/>
    <n v="226.62"/>
    <n v="3402.71"/>
    <s v="Medium"/>
    <x v="0"/>
    <s v="Vermicompost"/>
    <n v="163.71"/>
    <n v="514.52"/>
    <s v="Alluvial"/>
    <n v="21.74"/>
  </r>
  <r>
    <s v="CID66"/>
    <d v="2020-04-14T00:00:00"/>
    <x v="11"/>
    <x v="4"/>
    <x v="3"/>
    <s v="Kolkata"/>
    <x v="0"/>
    <x v="3"/>
    <n v="41.91"/>
    <n v="89.08"/>
    <n v="2125.5"/>
    <s v="Low"/>
    <x v="2"/>
    <s v="NPK"/>
    <n v="205.66"/>
    <n v="698.49"/>
    <s v="Laterite"/>
    <n v="31.4"/>
  </r>
  <r>
    <s v="CID67"/>
    <d v="2014-11-24T00:00:00"/>
    <x v="9"/>
    <x v="5"/>
    <x v="3"/>
    <s v="Patna"/>
    <x v="2"/>
    <x v="2"/>
    <n v="48.99"/>
    <n v="57.48"/>
    <n v="1173.22"/>
    <s v="Low"/>
    <x v="3"/>
    <s v="DAP"/>
    <n v="227.45"/>
    <n v="510.75"/>
    <s v="Black"/>
    <n v="28.28"/>
  </r>
  <r>
    <s v="CID68"/>
    <d v="2017-08-02T00:00:00"/>
    <x v="6"/>
    <x v="4"/>
    <x v="3"/>
    <s v="Kolkata"/>
    <x v="1"/>
    <x v="2"/>
    <n v="83.38"/>
    <n v="332.71"/>
    <n v="3990.25"/>
    <s v="Medium"/>
    <x v="2"/>
    <s v="Compost"/>
    <n v="177.22"/>
    <n v="473.42"/>
    <s v="Laterite"/>
    <n v="34.700000000000003"/>
  </r>
  <r>
    <s v="CID69"/>
    <d v="2016-10-08T00:00:00"/>
    <x v="4"/>
    <x v="5"/>
    <x v="3"/>
    <s v="Patna"/>
    <x v="1"/>
    <x v="1"/>
    <n v="51.32"/>
    <n v="322.08"/>
    <n v="6275.96"/>
    <s v="High"/>
    <x v="0"/>
    <s v="NPK"/>
    <n v="119.06"/>
    <n v="990.01"/>
    <s v="Laterite"/>
    <n v="25.1"/>
  </r>
  <r>
    <s v="CID70"/>
    <d v="2014-05-06T00:00:00"/>
    <x v="9"/>
    <x v="4"/>
    <x v="3"/>
    <s v="Kolkata"/>
    <x v="0"/>
    <x v="0"/>
    <n v="83.91"/>
    <n v="375.88"/>
    <n v="4479.54"/>
    <s v="Medium"/>
    <x v="1"/>
    <s v="Vermicompost"/>
    <n v="266.32"/>
    <n v="646.54999999999995"/>
    <s v="Laterite"/>
    <n v="25.18"/>
  </r>
  <r>
    <s v="CID71"/>
    <d v="2015-07-09T00:00:00"/>
    <x v="10"/>
    <x v="3"/>
    <x v="2"/>
    <s v="Mysore"/>
    <x v="1"/>
    <x v="2"/>
    <n v="24.64"/>
    <n v="81.260000000000005"/>
    <n v="3297.83"/>
    <s v="Medium"/>
    <x v="1"/>
    <s v="Compost"/>
    <n v="60.91"/>
    <n v="944.71"/>
    <s v="Laterite"/>
    <n v="25.79"/>
  </r>
  <r>
    <s v="CID72"/>
    <d v="2018-04-27T00:00:00"/>
    <x v="3"/>
    <x v="1"/>
    <x v="0"/>
    <s v="Ludhiana"/>
    <x v="0"/>
    <x v="0"/>
    <n v="87.1"/>
    <n v="543.95000000000005"/>
    <n v="6245.14"/>
    <s v="High"/>
    <x v="1"/>
    <s v="DAP"/>
    <n v="74.930000000000007"/>
    <n v="1110.44"/>
    <s v="Black"/>
    <n v="30.84"/>
  </r>
  <r>
    <s v="CID73"/>
    <d v="2023-01-21T00:00:00"/>
    <x v="7"/>
    <x v="1"/>
    <x v="0"/>
    <s v="Amritsar"/>
    <x v="2"/>
    <x v="0"/>
    <n v="62.7"/>
    <n v="212.23"/>
    <n v="3384.9"/>
    <s v="Medium"/>
    <x v="0"/>
    <s v="Compost"/>
    <n v="262.94"/>
    <n v="1052.3399999999999"/>
    <s v="Sandy"/>
    <n v="25.7"/>
  </r>
  <r>
    <s v="CID74"/>
    <d v="2010-05-19T00:00:00"/>
    <x v="0"/>
    <x v="4"/>
    <x v="3"/>
    <s v="Darjeeling"/>
    <x v="0"/>
    <x v="5"/>
    <n v="24.24"/>
    <n v="123.78"/>
    <n v="5106.3999999999996"/>
    <s v="High"/>
    <x v="2"/>
    <s v="Urea"/>
    <n v="299.36"/>
    <n v="946.77"/>
    <s v="Laterite"/>
    <n v="34.68"/>
  </r>
  <r>
    <s v="CID75"/>
    <d v="2022-03-25T00:00:00"/>
    <x v="8"/>
    <x v="3"/>
    <x v="2"/>
    <s v="Bangalore"/>
    <x v="2"/>
    <x v="5"/>
    <n v="5.55"/>
    <n v="32.06"/>
    <n v="5776.86"/>
    <s v="High"/>
    <x v="2"/>
    <s v="DAP"/>
    <n v="139.62"/>
    <n v="630.69000000000005"/>
    <s v="Red"/>
    <n v="27.97"/>
  </r>
  <r>
    <s v="CID76"/>
    <d v="2011-04-01T00:00:00"/>
    <x v="5"/>
    <x v="6"/>
    <x v="0"/>
    <s v="Gurgaon"/>
    <x v="0"/>
    <x v="3"/>
    <n v="62.35"/>
    <n v="152.44"/>
    <n v="2444.98"/>
    <s v="Low"/>
    <x v="3"/>
    <s v="Compost"/>
    <n v="108.05"/>
    <n v="837.9"/>
    <s v="Laterite"/>
    <n v="23.83"/>
  </r>
  <r>
    <s v="CID77"/>
    <d v="2018-08-17T00:00:00"/>
    <x v="3"/>
    <x v="2"/>
    <x v="1"/>
    <s v="Mumbai"/>
    <x v="1"/>
    <x v="5"/>
    <n v="44.73"/>
    <n v="137.47"/>
    <n v="3073.39"/>
    <s v="Medium"/>
    <x v="2"/>
    <s v="DAP"/>
    <n v="209.73"/>
    <n v="624.30999999999995"/>
    <s v="Alluvial"/>
    <n v="26.85"/>
  </r>
  <r>
    <s v="CID78"/>
    <d v="2011-10-23T00:00:00"/>
    <x v="5"/>
    <x v="3"/>
    <x v="2"/>
    <s v="Mysore"/>
    <x v="1"/>
    <x v="3"/>
    <n v="57.62"/>
    <n v="256.33999999999997"/>
    <n v="4448.87"/>
    <s v="Medium"/>
    <x v="2"/>
    <s v="Urea"/>
    <n v="55.48"/>
    <n v="1030.04"/>
    <s v="Laterite"/>
    <n v="24.12"/>
  </r>
  <r>
    <s v="CID79"/>
    <d v="2017-11-11T00:00:00"/>
    <x v="6"/>
    <x v="5"/>
    <x v="3"/>
    <s v="Bhagalpur"/>
    <x v="2"/>
    <x v="4"/>
    <n v="61.1"/>
    <n v="190.26"/>
    <n v="3113.93"/>
    <s v="Medium"/>
    <x v="3"/>
    <s v="NPK"/>
    <n v="205.22"/>
    <n v="877.76"/>
    <s v="Red"/>
    <n v="29.42"/>
  </r>
  <r>
    <s v="CID80"/>
    <d v="2010-05-05T00:00:00"/>
    <x v="0"/>
    <x v="4"/>
    <x v="3"/>
    <s v="Howrah"/>
    <x v="0"/>
    <x v="0"/>
    <n v="73.5"/>
    <n v="113.25"/>
    <n v="1540.8"/>
    <s v="Low"/>
    <x v="2"/>
    <s v="NPK"/>
    <n v="131.68"/>
    <n v="615.5"/>
    <s v="Red"/>
    <n v="21.98"/>
  </r>
  <r>
    <s v="CID81"/>
    <d v="2014-06-20T00:00:00"/>
    <x v="9"/>
    <x v="5"/>
    <x v="3"/>
    <s v="Bhagalpur"/>
    <x v="1"/>
    <x v="0"/>
    <n v="91.49"/>
    <n v="609.79"/>
    <n v="6665.13"/>
    <s v="High"/>
    <x v="2"/>
    <s v="DAP"/>
    <n v="236.64"/>
    <n v="538.72"/>
    <s v="Black"/>
    <n v="27.02"/>
  </r>
  <r>
    <s v="CID82"/>
    <d v="2020-04-30T00:00:00"/>
    <x v="11"/>
    <x v="4"/>
    <x v="3"/>
    <s v="Kolkata"/>
    <x v="0"/>
    <x v="2"/>
    <n v="98.01"/>
    <n v="666.82"/>
    <n v="6803.62"/>
    <s v="High"/>
    <x v="2"/>
    <s v="NPK"/>
    <n v="72.58"/>
    <n v="594.57000000000005"/>
    <s v="Alluvial"/>
    <n v="28.05"/>
  </r>
  <r>
    <s v="CID83"/>
    <d v="2021-03-24T00:00:00"/>
    <x v="11"/>
    <x v="0"/>
    <x v="0"/>
    <s v="Varanasi"/>
    <x v="2"/>
    <x v="1"/>
    <n v="38.72"/>
    <n v="187.07"/>
    <n v="4831.3"/>
    <s v="Medium"/>
    <x v="2"/>
    <s v="NPK"/>
    <n v="77.09"/>
    <n v="433.82"/>
    <s v="Black"/>
    <n v="29.29"/>
  </r>
  <r>
    <s v="CID84"/>
    <d v="2020-08-17T00:00:00"/>
    <x v="11"/>
    <x v="5"/>
    <x v="3"/>
    <s v="Patna"/>
    <x v="1"/>
    <x v="2"/>
    <n v="82.56"/>
    <n v="533.03"/>
    <n v="6456.33"/>
    <s v="High"/>
    <x v="2"/>
    <s v="Compost"/>
    <n v="212.31"/>
    <n v="316.68"/>
    <s v="Black"/>
    <n v="34.19"/>
  </r>
  <r>
    <s v="CID85"/>
    <d v="2013-05-24T00:00:00"/>
    <x v="1"/>
    <x v="1"/>
    <x v="0"/>
    <s v="Ludhiana"/>
    <x v="0"/>
    <x v="4"/>
    <n v="39.479999999999997"/>
    <n v="127.37"/>
    <n v="3226.07"/>
    <s v="Medium"/>
    <x v="1"/>
    <s v="Compost"/>
    <n v="196.84"/>
    <n v="926.6"/>
    <s v="Laterite"/>
    <n v="29.82"/>
  </r>
  <r>
    <s v="CID86"/>
    <d v="2014-08-31T00:00:00"/>
    <x v="9"/>
    <x v="5"/>
    <x v="3"/>
    <s v="Gaya"/>
    <x v="1"/>
    <x v="2"/>
    <n v="37.68"/>
    <n v="137.91999999999999"/>
    <n v="3660.3"/>
    <s v="Medium"/>
    <x v="3"/>
    <s v="Urea"/>
    <n v="263.86"/>
    <n v="299.35000000000002"/>
    <s v="Alluvial"/>
    <n v="28.17"/>
  </r>
  <r>
    <s v="CID87"/>
    <d v="2013-07-23T00:00:00"/>
    <x v="1"/>
    <x v="3"/>
    <x v="2"/>
    <s v="Mysore"/>
    <x v="1"/>
    <x v="3"/>
    <n v="10.08"/>
    <n v="22.91"/>
    <n v="2272.63"/>
    <s v="Low"/>
    <x v="0"/>
    <s v="Urea"/>
    <n v="62.64"/>
    <n v="533.51"/>
    <s v="Red"/>
    <n v="31.8"/>
  </r>
  <r>
    <s v="CID88"/>
    <d v="2013-04-10T00:00:00"/>
    <x v="1"/>
    <x v="4"/>
    <x v="3"/>
    <s v="Darjeeling"/>
    <x v="0"/>
    <x v="4"/>
    <n v="81.489999999999995"/>
    <n v="195.41"/>
    <n v="2397.9899999999998"/>
    <s v="Low"/>
    <x v="3"/>
    <s v="DAP"/>
    <n v="247.16"/>
    <n v="795.98"/>
    <s v="Alluvial"/>
    <n v="32.880000000000003"/>
  </r>
  <r>
    <s v="CID89"/>
    <d v="2022-07-15T00:00:00"/>
    <x v="7"/>
    <x v="5"/>
    <x v="3"/>
    <s v="Gaya"/>
    <x v="1"/>
    <x v="5"/>
    <n v="66.44"/>
    <n v="76.72"/>
    <n v="1154.68"/>
    <s v="Low"/>
    <x v="0"/>
    <s v="NPK"/>
    <n v="139.56"/>
    <n v="988.43"/>
    <s v="Sandy"/>
    <n v="24.86"/>
  </r>
  <r>
    <s v="CID90"/>
    <d v="2021-12-27T00:00:00"/>
    <x v="8"/>
    <x v="1"/>
    <x v="0"/>
    <s v="Ludhiana"/>
    <x v="2"/>
    <x v="1"/>
    <n v="12.25"/>
    <n v="16.920000000000002"/>
    <n v="1381.35"/>
    <s v="Low"/>
    <x v="1"/>
    <s v="Vermicompost"/>
    <n v="244.5"/>
    <n v="713.24"/>
    <s v="Black"/>
    <n v="26.78"/>
  </r>
  <r>
    <s v="CID91"/>
    <d v="2022-04-07T00:00:00"/>
    <x v="7"/>
    <x v="1"/>
    <x v="0"/>
    <s v="Patiala"/>
    <x v="0"/>
    <x v="1"/>
    <n v="30.86"/>
    <n v="149.97999999999999"/>
    <n v="4860.04"/>
    <s v="Medium"/>
    <x v="0"/>
    <s v="Compost"/>
    <n v="65.209999999999994"/>
    <n v="678.98"/>
    <s v="Laterite"/>
    <n v="26.39"/>
  </r>
  <r>
    <s v="CID92"/>
    <d v="2011-10-31T00:00:00"/>
    <x v="5"/>
    <x v="0"/>
    <x v="0"/>
    <s v="Kanpur"/>
    <x v="1"/>
    <x v="0"/>
    <n v="61.22"/>
    <n v="85.35"/>
    <n v="1394.09"/>
    <s v="Low"/>
    <x v="2"/>
    <s v="Vermicompost"/>
    <n v="206.08"/>
    <n v="785.36"/>
    <s v="Alluvial"/>
    <n v="25.71"/>
  </r>
  <r>
    <s v="CID93"/>
    <d v="2018-04-30T00:00:00"/>
    <x v="3"/>
    <x v="2"/>
    <x v="1"/>
    <s v="Pune"/>
    <x v="0"/>
    <x v="3"/>
    <n v="10.82"/>
    <n v="56.38"/>
    <n v="5210.68"/>
    <s v="High"/>
    <x v="3"/>
    <s v="Compost"/>
    <n v="157.52000000000001"/>
    <n v="1088.0899999999999"/>
    <s v="Laterite"/>
    <n v="25.08"/>
  </r>
  <r>
    <s v="CID94"/>
    <d v="2011-11-24T00:00:00"/>
    <x v="5"/>
    <x v="3"/>
    <x v="2"/>
    <s v="Hubli"/>
    <x v="2"/>
    <x v="3"/>
    <n v="31.94"/>
    <n v="80.790000000000006"/>
    <n v="2529.34"/>
    <s v="Low"/>
    <x v="3"/>
    <s v="Compost"/>
    <n v="221.71"/>
    <n v="674.27"/>
    <s v="Black"/>
    <n v="32.479999999999997"/>
  </r>
  <r>
    <s v="CID95"/>
    <d v="2021-11-14T00:00:00"/>
    <x v="8"/>
    <x v="1"/>
    <x v="0"/>
    <s v="Patiala"/>
    <x v="2"/>
    <x v="4"/>
    <n v="56.08"/>
    <n v="253.41"/>
    <n v="4518.79"/>
    <s v="Medium"/>
    <x v="2"/>
    <s v="NPK"/>
    <n v="217.5"/>
    <n v="610.80999999999995"/>
    <s v="Laterite"/>
    <n v="33.020000000000003"/>
  </r>
  <r>
    <s v="CID96"/>
    <d v="2015-08-11T00:00:00"/>
    <x v="10"/>
    <x v="5"/>
    <x v="3"/>
    <s v="Gaya"/>
    <x v="1"/>
    <x v="1"/>
    <n v="51.23"/>
    <n v="98.79"/>
    <n v="1928.38"/>
    <s v="Low"/>
    <x v="1"/>
    <s v="Vermicompost"/>
    <n v="106.06"/>
    <n v="308.22000000000003"/>
    <s v="Sandy"/>
    <n v="25.51"/>
  </r>
  <r>
    <s v="CID97"/>
    <d v="2018-04-23T00:00:00"/>
    <x v="3"/>
    <x v="6"/>
    <x v="0"/>
    <s v="Faridabad"/>
    <x v="0"/>
    <x v="1"/>
    <n v="67.819999999999993"/>
    <n v="294.37"/>
    <n v="4340.4399999999996"/>
    <s v="Medium"/>
    <x v="2"/>
    <s v="Urea"/>
    <n v="57.24"/>
    <n v="473.27"/>
    <s v="Alluvial"/>
    <n v="33.82"/>
  </r>
  <r>
    <s v="CID98"/>
    <d v="2019-04-22T00:00:00"/>
    <x v="12"/>
    <x v="6"/>
    <x v="0"/>
    <s v="Gurgaon"/>
    <x v="0"/>
    <x v="3"/>
    <n v="7.89"/>
    <n v="42.97"/>
    <n v="5445.81"/>
    <s v="High"/>
    <x v="0"/>
    <s v="DAP"/>
    <n v="72.94"/>
    <n v="730.48"/>
    <s v="Laterite"/>
    <n v="26.3"/>
  </r>
  <r>
    <s v="CID99"/>
    <d v="2022-02-17T00:00:00"/>
    <x v="8"/>
    <x v="2"/>
    <x v="1"/>
    <s v="Pune"/>
    <x v="2"/>
    <x v="1"/>
    <n v="60.03"/>
    <n v="378.19"/>
    <n v="6300.05"/>
    <s v="High"/>
    <x v="3"/>
    <s v="Compost"/>
    <n v="89.35"/>
    <n v="817.84"/>
    <s v="Black"/>
    <n v="24.08"/>
  </r>
  <r>
    <s v="CID100"/>
    <d v="2017-01-18T00:00:00"/>
    <x v="4"/>
    <x v="5"/>
    <x v="3"/>
    <s v="Gaya"/>
    <x v="2"/>
    <x v="4"/>
    <n v="75.739999999999995"/>
    <n v="127.46"/>
    <n v="1682.91"/>
    <s v="Low"/>
    <x v="1"/>
    <s v="Urea"/>
    <n v="77.72"/>
    <n v="878.22"/>
    <s v="Sandy"/>
    <n v="27.3"/>
  </r>
  <r>
    <s v="CID101"/>
    <d v="2019-09-19T00:00:00"/>
    <x v="12"/>
    <x v="6"/>
    <x v="0"/>
    <s v="Faridabad"/>
    <x v="1"/>
    <x v="5"/>
    <n v="21.24"/>
    <n v="141.71"/>
    <n v="6671.94"/>
    <s v="High"/>
    <x v="3"/>
    <s v="DAP"/>
    <n v="241.04"/>
    <n v="489.45"/>
    <s v="Black"/>
    <n v="20.12"/>
  </r>
  <r>
    <s v="CID102"/>
    <d v="2018-04-30T00:00:00"/>
    <x v="3"/>
    <x v="6"/>
    <x v="0"/>
    <s v="Faridabad"/>
    <x v="0"/>
    <x v="4"/>
    <n v="50.53"/>
    <n v="303.19"/>
    <n v="6000.13"/>
    <s v="High"/>
    <x v="2"/>
    <s v="Urea"/>
    <n v="68.02"/>
    <n v="1061.76"/>
    <s v="Black"/>
    <n v="26.54"/>
  </r>
  <r>
    <s v="CID103"/>
    <d v="2020-02-26T00:00:00"/>
    <x v="12"/>
    <x v="4"/>
    <x v="3"/>
    <s v="Howrah"/>
    <x v="2"/>
    <x v="1"/>
    <n v="41.04"/>
    <n v="198.67"/>
    <n v="4840.8500000000004"/>
    <s v="Medium"/>
    <x v="2"/>
    <s v="NPK"/>
    <n v="78.790000000000006"/>
    <n v="220.86"/>
    <s v="Alluvial"/>
    <n v="22.58"/>
  </r>
  <r>
    <s v="CID104"/>
    <d v="2011-07-14T00:00:00"/>
    <x v="5"/>
    <x v="1"/>
    <x v="0"/>
    <s v="Amritsar"/>
    <x v="1"/>
    <x v="3"/>
    <n v="59.3"/>
    <n v="245.73"/>
    <n v="4143.78"/>
    <s v="Medium"/>
    <x v="1"/>
    <s v="Urea"/>
    <n v="267.63"/>
    <n v="945.8"/>
    <s v="Red"/>
    <n v="25"/>
  </r>
  <r>
    <s v="CID105"/>
    <d v="2011-04-10T00:00:00"/>
    <x v="5"/>
    <x v="5"/>
    <x v="3"/>
    <s v="Bhagalpur"/>
    <x v="0"/>
    <x v="1"/>
    <n v="20.2"/>
    <n v="114.28"/>
    <n v="5657.37"/>
    <s v="High"/>
    <x v="2"/>
    <s v="NPK"/>
    <n v="231.84"/>
    <n v="1018.95"/>
    <s v="Red"/>
    <n v="23.54"/>
  </r>
  <r>
    <s v="CID106"/>
    <d v="2019-10-23T00:00:00"/>
    <x v="12"/>
    <x v="6"/>
    <x v="0"/>
    <s v="Gurgaon"/>
    <x v="1"/>
    <x v="2"/>
    <n v="8.4600000000000009"/>
    <n v="56.75"/>
    <n v="6707.75"/>
    <s v="High"/>
    <x v="1"/>
    <s v="Vermicompost"/>
    <n v="165.99"/>
    <n v="763.74"/>
    <s v="Sandy"/>
    <n v="26.73"/>
  </r>
  <r>
    <s v="CID107"/>
    <d v="2015-08-19T00:00:00"/>
    <x v="10"/>
    <x v="2"/>
    <x v="1"/>
    <s v="Mumbai"/>
    <x v="1"/>
    <x v="3"/>
    <n v="7.76"/>
    <n v="28.35"/>
    <n v="3653.25"/>
    <s v="Medium"/>
    <x v="2"/>
    <s v="Compost"/>
    <n v="249.08"/>
    <n v="791.42"/>
    <s v="Alluvial"/>
    <n v="27.61"/>
  </r>
  <r>
    <s v="CID108"/>
    <d v="2010-11-11T00:00:00"/>
    <x v="0"/>
    <x v="3"/>
    <x v="2"/>
    <s v="Bangalore"/>
    <x v="2"/>
    <x v="0"/>
    <n v="8.6"/>
    <n v="53.2"/>
    <n v="6185.5"/>
    <s v="High"/>
    <x v="0"/>
    <s v="Compost"/>
    <n v="203.75"/>
    <n v="707.07"/>
    <s v="Laterite"/>
    <n v="28.7"/>
  </r>
  <r>
    <s v="CID109"/>
    <d v="2020-06-22T00:00:00"/>
    <x v="11"/>
    <x v="4"/>
    <x v="3"/>
    <s v="Darjeeling"/>
    <x v="1"/>
    <x v="0"/>
    <n v="60.9"/>
    <n v="244.1"/>
    <n v="4008.2"/>
    <s v="Medium"/>
    <x v="0"/>
    <s v="Vermicompost"/>
    <n v="162.63"/>
    <n v="1010.97"/>
    <s v="Alluvial"/>
    <n v="34.74"/>
  </r>
  <r>
    <s v="CID110"/>
    <d v="2010-08-26T00:00:00"/>
    <x v="0"/>
    <x v="0"/>
    <x v="0"/>
    <s v="Lucknow"/>
    <x v="1"/>
    <x v="2"/>
    <n v="44.34"/>
    <n v="161.24"/>
    <n v="3636.53"/>
    <s v="Medium"/>
    <x v="3"/>
    <s v="Vermicompost"/>
    <n v="140.97"/>
    <n v="1117.94"/>
    <s v="Laterite"/>
    <n v="26.13"/>
  </r>
  <r>
    <s v="CID111"/>
    <d v="2021-01-25T00:00:00"/>
    <x v="11"/>
    <x v="1"/>
    <x v="0"/>
    <s v="Patiala"/>
    <x v="2"/>
    <x v="5"/>
    <n v="33.64"/>
    <n v="146.26"/>
    <n v="4347.78"/>
    <s v="Medium"/>
    <x v="1"/>
    <s v="Urea"/>
    <n v="121.04"/>
    <n v="923.73"/>
    <s v="Sandy"/>
    <n v="33.1"/>
  </r>
  <r>
    <s v="CID112"/>
    <d v="2013-02-05T00:00:00"/>
    <x v="2"/>
    <x v="5"/>
    <x v="3"/>
    <s v="Bhagalpur"/>
    <x v="2"/>
    <x v="0"/>
    <n v="96.8"/>
    <n v="502.48"/>
    <n v="5190.88"/>
    <s v="High"/>
    <x v="1"/>
    <s v="NPK"/>
    <n v="82.24"/>
    <n v="908.83"/>
    <s v="Black"/>
    <n v="24.64"/>
  </r>
  <r>
    <s v="CID113"/>
    <d v="2020-04-20T00:00:00"/>
    <x v="11"/>
    <x v="4"/>
    <x v="3"/>
    <s v="Kolkata"/>
    <x v="0"/>
    <x v="2"/>
    <n v="99.72"/>
    <n v="645.66"/>
    <n v="6474.69"/>
    <s v="High"/>
    <x v="0"/>
    <s v="DAP"/>
    <n v="211.51"/>
    <n v="623.41"/>
    <s v="Alluvial"/>
    <n v="20.27"/>
  </r>
  <r>
    <s v="CID114"/>
    <d v="2023-03-15T00:00:00"/>
    <x v="7"/>
    <x v="6"/>
    <x v="0"/>
    <s v="Faridabad"/>
    <x v="2"/>
    <x v="4"/>
    <n v="23.43"/>
    <n v="42.77"/>
    <n v="1825.39"/>
    <s v="Low"/>
    <x v="0"/>
    <s v="Urea"/>
    <n v="123.95"/>
    <n v="988.12"/>
    <s v="Sandy"/>
    <n v="31.56"/>
  </r>
  <r>
    <s v="CID115"/>
    <d v="2022-04-03T00:00:00"/>
    <x v="7"/>
    <x v="0"/>
    <x v="0"/>
    <s v="Kanpur"/>
    <x v="0"/>
    <x v="4"/>
    <n v="60.13"/>
    <n v="115.78"/>
    <n v="1925.52"/>
    <s v="Low"/>
    <x v="3"/>
    <s v="Compost"/>
    <n v="257.83999999999997"/>
    <n v="971.1"/>
    <s v="Red"/>
    <n v="30.82"/>
  </r>
  <r>
    <s v="CID116"/>
    <d v="2021-07-20T00:00:00"/>
    <x v="8"/>
    <x v="2"/>
    <x v="1"/>
    <s v="Mumbai"/>
    <x v="1"/>
    <x v="3"/>
    <n v="61.45"/>
    <n v="338.86"/>
    <n v="5514.35"/>
    <s v="High"/>
    <x v="1"/>
    <s v="NPK"/>
    <n v="108.5"/>
    <n v="439.17"/>
    <s v="Laterite"/>
    <n v="33.56"/>
  </r>
  <r>
    <s v="CID117"/>
    <d v="2018-01-04T00:00:00"/>
    <x v="6"/>
    <x v="0"/>
    <x v="0"/>
    <s v="Varanasi"/>
    <x v="2"/>
    <x v="0"/>
    <n v="78.03"/>
    <n v="313.48"/>
    <n v="4017.44"/>
    <s v="Medium"/>
    <x v="1"/>
    <s v="Urea"/>
    <n v="291.57"/>
    <n v="1016.89"/>
    <s v="Sandy"/>
    <n v="22.08"/>
  </r>
  <r>
    <s v="CID118"/>
    <d v="2015-05-03T00:00:00"/>
    <x v="10"/>
    <x v="0"/>
    <x v="0"/>
    <s v="Kanpur"/>
    <x v="0"/>
    <x v="5"/>
    <n v="71.430000000000007"/>
    <n v="292.54000000000002"/>
    <n v="4095.46"/>
    <s v="Medium"/>
    <x v="0"/>
    <s v="DAP"/>
    <n v="121.27"/>
    <n v="963.12"/>
    <s v="Alluvial"/>
    <n v="26.74"/>
  </r>
  <r>
    <s v="CID119"/>
    <d v="2011-06-21T00:00:00"/>
    <x v="5"/>
    <x v="4"/>
    <x v="3"/>
    <s v="Howrah"/>
    <x v="1"/>
    <x v="3"/>
    <n v="88.58"/>
    <n v="583.11"/>
    <n v="6582.83"/>
    <s v="High"/>
    <x v="1"/>
    <s v="NPK"/>
    <n v="63.31"/>
    <n v="702.01"/>
    <s v="Red"/>
    <n v="25.79"/>
  </r>
  <r>
    <s v="CID120"/>
    <d v="2015-07-06T00:00:00"/>
    <x v="10"/>
    <x v="6"/>
    <x v="0"/>
    <s v="Gurgaon"/>
    <x v="1"/>
    <x v="2"/>
    <n v="65.349999999999994"/>
    <n v="375.65"/>
    <n v="5748.28"/>
    <s v="High"/>
    <x v="3"/>
    <s v="Compost"/>
    <n v="59.58"/>
    <n v="1117.4000000000001"/>
    <s v="Laterite"/>
    <n v="30.44"/>
  </r>
  <r>
    <s v="CID121"/>
    <d v="2010-08-01T00:00:00"/>
    <x v="0"/>
    <x v="3"/>
    <x v="2"/>
    <s v="Hubli"/>
    <x v="1"/>
    <x v="5"/>
    <n v="26.34"/>
    <n v="158.30000000000001"/>
    <n v="6009.78"/>
    <s v="High"/>
    <x v="1"/>
    <s v="Compost"/>
    <n v="77.8"/>
    <n v="488.1"/>
    <s v="Alluvial"/>
    <n v="21.83"/>
  </r>
  <r>
    <s v="CID122"/>
    <d v="2017-06-01T00:00:00"/>
    <x v="6"/>
    <x v="0"/>
    <x v="0"/>
    <s v="Varanasi"/>
    <x v="1"/>
    <x v="5"/>
    <n v="83.83"/>
    <n v="335.23"/>
    <n v="3998.98"/>
    <s v="Medium"/>
    <x v="0"/>
    <s v="Vermicompost"/>
    <n v="207.99"/>
    <n v="775.05"/>
    <s v="Red"/>
    <n v="24.37"/>
  </r>
  <r>
    <s v="CID123"/>
    <d v="2020-03-09T00:00:00"/>
    <x v="12"/>
    <x v="2"/>
    <x v="1"/>
    <s v="Nagpur"/>
    <x v="2"/>
    <x v="4"/>
    <n v="66.77"/>
    <n v="101.07"/>
    <n v="1513.68"/>
    <s v="Low"/>
    <x v="2"/>
    <s v="Vermicompost"/>
    <n v="66.92"/>
    <n v="726.06"/>
    <s v="Sandy"/>
    <n v="31.8"/>
  </r>
  <r>
    <s v="CID124"/>
    <d v="2017-06-27T00:00:00"/>
    <x v="6"/>
    <x v="1"/>
    <x v="0"/>
    <s v="Amritsar"/>
    <x v="1"/>
    <x v="2"/>
    <n v="39.299999999999997"/>
    <n v="127.32"/>
    <n v="3239.81"/>
    <s v="Medium"/>
    <x v="0"/>
    <s v="Vermicompost"/>
    <n v="139.27000000000001"/>
    <n v="267.56"/>
    <s v="Red"/>
    <n v="30.99"/>
  </r>
  <r>
    <s v="CID125"/>
    <d v="2012-07-05T00:00:00"/>
    <x v="2"/>
    <x v="0"/>
    <x v="0"/>
    <s v="Kanpur"/>
    <x v="1"/>
    <x v="0"/>
    <n v="55.06"/>
    <n v="323.81"/>
    <n v="5881.05"/>
    <s v="High"/>
    <x v="3"/>
    <s v="Urea"/>
    <n v="257.60000000000002"/>
    <n v="884.68"/>
    <s v="Laterite"/>
    <n v="29.48"/>
  </r>
  <r>
    <s v="CID126"/>
    <d v="2011-03-20T00:00:00"/>
    <x v="0"/>
    <x v="0"/>
    <x v="0"/>
    <s v="Kanpur"/>
    <x v="2"/>
    <x v="4"/>
    <n v="5.34"/>
    <n v="11.73"/>
    <n v="2196.8200000000002"/>
    <s v="Low"/>
    <x v="0"/>
    <s v="Compost"/>
    <n v="128.9"/>
    <n v="510.08"/>
    <s v="Laterite"/>
    <n v="34.840000000000003"/>
  </r>
  <r>
    <s v="CID127"/>
    <d v="2022-04-28T00:00:00"/>
    <x v="7"/>
    <x v="2"/>
    <x v="1"/>
    <s v="Nagpur"/>
    <x v="0"/>
    <x v="4"/>
    <n v="29.32"/>
    <n v="180.99"/>
    <n v="6172.83"/>
    <s v="High"/>
    <x v="0"/>
    <s v="Compost"/>
    <n v="266.45"/>
    <n v="531.91999999999996"/>
    <s v="Black"/>
    <n v="31.99"/>
  </r>
  <r>
    <s v="CID128"/>
    <d v="2016-12-17T00:00:00"/>
    <x v="4"/>
    <x v="0"/>
    <x v="0"/>
    <s v="Kanpur"/>
    <x v="2"/>
    <x v="4"/>
    <n v="50.12"/>
    <n v="199.74"/>
    <n v="3985.14"/>
    <s v="Medium"/>
    <x v="2"/>
    <s v="Vermicompost"/>
    <n v="250.29"/>
    <n v="927.08"/>
    <s v="Black"/>
    <n v="26.46"/>
  </r>
  <r>
    <s v="CID129"/>
    <d v="2011-08-30T00:00:00"/>
    <x v="5"/>
    <x v="2"/>
    <x v="1"/>
    <s v="Pune"/>
    <x v="1"/>
    <x v="0"/>
    <n v="66.430000000000007"/>
    <n v="188.59"/>
    <n v="2838.98"/>
    <s v="Low"/>
    <x v="1"/>
    <s v="Vermicompost"/>
    <n v="91.66"/>
    <n v="643.91"/>
    <s v="Laterite"/>
    <n v="20.64"/>
  </r>
  <r>
    <s v="CID130"/>
    <d v="2020-09-21T00:00:00"/>
    <x v="11"/>
    <x v="3"/>
    <x v="2"/>
    <s v="Mysore"/>
    <x v="1"/>
    <x v="5"/>
    <n v="67.45"/>
    <n v="231.84"/>
    <n v="3437.26"/>
    <s v="Medium"/>
    <x v="3"/>
    <s v="Urea"/>
    <n v="288.2"/>
    <n v="342.78"/>
    <s v="Sandy"/>
    <n v="30.17"/>
  </r>
  <r>
    <s v="CID131"/>
    <d v="2013-05-19T00:00:00"/>
    <x v="1"/>
    <x v="6"/>
    <x v="0"/>
    <s v="Gurgaon"/>
    <x v="0"/>
    <x v="0"/>
    <n v="36.85"/>
    <n v="246.78"/>
    <n v="6696.8"/>
    <s v="High"/>
    <x v="0"/>
    <s v="Urea"/>
    <n v="201.27"/>
    <n v="879.06"/>
    <s v="Alluvial"/>
    <n v="25.58"/>
  </r>
  <r>
    <s v="CID132"/>
    <d v="2019-03-24T00:00:00"/>
    <x v="3"/>
    <x v="5"/>
    <x v="3"/>
    <s v="Patna"/>
    <x v="2"/>
    <x v="3"/>
    <n v="32.119999999999997"/>
    <n v="85.83"/>
    <n v="2672.14"/>
    <s v="Low"/>
    <x v="0"/>
    <s v="Urea"/>
    <n v="56.48"/>
    <n v="386.05"/>
    <s v="Sandy"/>
    <n v="25.8"/>
  </r>
  <r>
    <s v="CID133"/>
    <d v="2022-02-22T00:00:00"/>
    <x v="8"/>
    <x v="2"/>
    <x v="1"/>
    <s v="Pune"/>
    <x v="2"/>
    <x v="4"/>
    <n v="99.64"/>
    <n v="270.37"/>
    <n v="2713.46"/>
    <s v="Low"/>
    <x v="1"/>
    <s v="Urea"/>
    <n v="100.04"/>
    <n v="335.73"/>
    <s v="Black"/>
    <n v="26.78"/>
  </r>
  <r>
    <s v="CID134"/>
    <d v="2015-05-03T00:00:00"/>
    <x v="10"/>
    <x v="4"/>
    <x v="3"/>
    <s v="Darjeeling"/>
    <x v="0"/>
    <x v="0"/>
    <n v="71.239999999999995"/>
    <n v="306.33"/>
    <n v="4299.9799999999996"/>
    <s v="Medium"/>
    <x v="2"/>
    <s v="DAP"/>
    <n v="272.83"/>
    <n v="1051.3599999999999"/>
    <s v="Red"/>
    <n v="31.91"/>
  </r>
  <r>
    <s v="CID135"/>
    <d v="2022-06-23T00:00:00"/>
    <x v="7"/>
    <x v="1"/>
    <x v="0"/>
    <s v="Ludhiana"/>
    <x v="1"/>
    <x v="4"/>
    <n v="79.25"/>
    <n v="91.75"/>
    <n v="1157.7"/>
    <s v="Low"/>
    <x v="2"/>
    <s v="Urea"/>
    <n v="166.85"/>
    <n v="1183.01"/>
    <s v="Red"/>
    <n v="29.18"/>
  </r>
  <r>
    <s v="CID136"/>
    <d v="2021-05-14T00:00:00"/>
    <x v="8"/>
    <x v="2"/>
    <x v="1"/>
    <s v="Pune"/>
    <x v="0"/>
    <x v="3"/>
    <n v="53.04"/>
    <n v="297.82"/>
    <n v="5614.99"/>
    <s v="High"/>
    <x v="0"/>
    <s v="Vermicompost"/>
    <n v="81.33"/>
    <n v="517.03"/>
    <s v="Black"/>
    <n v="26.75"/>
  </r>
  <r>
    <s v="CID137"/>
    <d v="2022-05-04T00:00:00"/>
    <x v="7"/>
    <x v="2"/>
    <x v="1"/>
    <s v="Nagpur"/>
    <x v="0"/>
    <x v="2"/>
    <n v="59.19"/>
    <n v="331.86"/>
    <n v="5606.69"/>
    <s v="High"/>
    <x v="3"/>
    <s v="DAP"/>
    <n v="158.15"/>
    <n v="1110.71"/>
    <s v="Black"/>
    <n v="32.47"/>
  </r>
  <r>
    <s v="CID138"/>
    <d v="2013-01-17T00:00:00"/>
    <x v="2"/>
    <x v="2"/>
    <x v="1"/>
    <s v="Nagpur"/>
    <x v="2"/>
    <x v="2"/>
    <n v="23.32"/>
    <n v="155.88999999999999"/>
    <n v="6684.9"/>
    <s v="High"/>
    <x v="2"/>
    <s v="Vermicompost"/>
    <n v="261.48"/>
    <n v="450.61"/>
    <s v="Sandy"/>
    <n v="24.12"/>
  </r>
  <r>
    <s v="CID139"/>
    <d v="2018-05-30T00:00:00"/>
    <x v="3"/>
    <x v="5"/>
    <x v="3"/>
    <s v="Patna"/>
    <x v="0"/>
    <x v="4"/>
    <n v="59.59"/>
    <n v="267.19"/>
    <n v="4483.88"/>
    <s v="Medium"/>
    <x v="3"/>
    <s v="Vermicompost"/>
    <n v="214.68"/>
    <n v="920.63"/>
    <s v="Sandy"/>
    <n v="25.06"/>
  </r>
  <r>
    <s v="CID140"/>
    <d v="2011-10-18T00:00:00"/>
    <x v="5"/>
    <x v="1"/>
    <x v="0"/>
    <s v="Ludhiana"/>
    <x v="1"/>
    <x v="2"/>
    <n v="77.33"/>
    <n v="200.13"/>
    <n v="2587.94"/>
    <s v="Low"/>
    <x v="3"/>
    <s v="NPK"/>
    <n v="241.74"/>
    <n v="616.59"/>
    <s v="Black"/>
    <n v="27.47"/>
  </r>
  <r>
    <s v="CID141"/>
    <d v="2017-07-07T00:00:00"/>
    <x v="6"/>
    <x v="0"/>
    <x v="0"/>
    <s v="Kanpur"/>
    <x v="1"/>
    <x v="2"/>
    <n v="41.2"/>
    <n v="153.32"/>
    <n v="3721.26"/>
    <s v="Medium"/>
    <x v="0"/>
    <s v="NPK"/>
    <n v="89.52"/>
    <n v="615.62"/>
    <s v="Laterite"/>
    <n v="23.06"/>
  </r>
  <r>
    <s v="CID142"/>
    <d v="2015-04-18T00:00:00"/>
    <x v="10"/>
    <x v="4"/>
    <x v="3"/>
    <s v="Darjeeling"/>
    <x v="0"/>
    <x v="0"/>
    <n v="97.56"/>
    <n v="174.11"/>
    <n v="1784.6"/>
    <s v="Low"/>
    <x v="2"/>
    <s v="Compost"/>
    <n v="178.75"/>
    <n v="306.18"/>
    <s v="Red"/>
    <n v="27"/>
  </r>
  <r>
    <s v="CID143"/>
    <d v="2011-10-26T00:00:00"/>
    <x v="5"/>
    <x v="6"/>
    <x v="0"/>
    <s v="Gurgaon"/>
    <x v="1"/>
    <x v="0"/>
    <n v="94.59"/>
    <n v="585.04"/>
    <n v="6184.98"/>
    <s v="High"/>
    <x v="1"/>
    <s v="NPK"/>
    <n v="112.07"/>
    <n v="1065.31"/>
    <s v="Red"/>
    <n v="32.200000000000003"/>
  </r>
  <r>
    <s v="CID144"/>
    <d v="2017-04-14T00:00:00"/>
    <x v="6"/>
    <x v="6"/>
    <x v="0"/>
    <s v="Gurgaon"/>
    <x v="0"/>
    <x v="3"/>
    <n v="50.38"/>
    <n v="143.65"/>
    <n v="2851.24"/>
    <s v="Low"/>
    <x v="0"/>
    <s v="Vermicompost"/>
    <n v="72.510000000000005"/>
    <n v="593.24"/>
    <s v="Laterite"/>
    <n v="34.5"/>
  </r>
  <r>
    <s v="CID145"/>
    <d v="2011-01-07T00:00:00"/>
    <x v="0"/>
    <x v="2"/>
    <x v="1"/>
    <s v="Nagpur"/>
    <x v="2"/>
    <x v="3"/>
    <n v="60.15"/>
    <n v="364.33"/>
    <n v="6057.1"/>
    <s v="High"/>
    <x v="1"/>
    <s v="NPK"/>
    <n v="121.44"/>
    <n v="208.18"/>
    <s v="Black"/>
    <n v="26.46"/>
  </r>
  <r>
    <s v="CID146"/>
    <d v="2015-10-19T00:00:00"/>
    <x v="10"/>
    <x v="4"/>
    <x v="3"/>
    <s v="Howrah"/>
    <x v="1"/>
    <x v="3"/>
    <n v="6.06"/>
    <n v="26.49"/>
    <n v="4370.8999999999996"/>
    <s v="Medium"/>
    <x v="2"/>
    <s v="NPK"/>
    <n v="188.31"/>
    <n v="273.52999999999997"/>
    <s v="Sandy"/>
    <n v="26.76"/>
  </r>
  <r>
    <s v="CID147"/>
    <d v="2020-04-13T00:00:00"/>
    <x v="11"/>
    <x v="4"/>
    <x v="3"/>
    <s v="Darjeeling"/>
    <x v="0"/>
    <x v="5"/>
    <n v="13.74"/>
    <n v="21.71"/>
    <n v="1580.09"/>
    <s v="Low"/>
    <x v="2"/>
    <s v="Vermicompost"/>
    <n v="248.72"/>
    <n v="539.09"/>
    <s v="Alluvial"/>
    <n v="31.32"/>
  </r>
  <r>
    <s v="CID148"/>
    <d v="2018-08-21T00:00:00"/>
    <x v="3"/>
    <x v="5"/>
    <x v="3"/>
    <s v="Gaya"/>
    <x v="1"/>
    <x v="5"/>
    <n v="4.8499999999999996"/>
    <n v="25.62"/>
    <n v="5281.55"/>
    <s v="High"/>
    <x v="1"/>
    <s v="DAP"/>
    <n v="179.83"/>
    <n v="348.94"/>
    <s v="Sandy"/>
    <n v="22.1"/>
  </r>
  <r>
    <s v="CID149"/>
    <d v="2021-11-29T00:00:00"/>
    <x v="8"/>
    <x v="3"/>
    <x v="2"/>
    <s v="Hubli"/>
    <x v="2"/>
    <x v="1"/>
    <n v="34.299999999999997"/>
    <n v="204.76"/>
    <n v="5969.74"/>
    <s v="High"/>
    <x v="1"/>
    <s v="Compost"/>
    <n v="227.18"/>
    <n v="499.79"/>
    <s v="Black"/>
    <n v="25.53"/>
  </r>
  <r>
    <s v="CID150"/>
    <d v="2022-05-17T00:00:00"/>
    <x v="7"/>
    <x v="5"/>
    <x v="3"/>
    <s v="Gaya"/>
    <x v="0"/>
    <x v="2"/>
    <n v="63.3"/>
    <n v="290.01"/>
    <n v="4581.46"/>
    <s v="Medium"/>
    <x v="2"/>
    <s v="Urea"/>
    <n v="291.77"/>
    <n v="982.9"/>
    <s v="Sandy"/>
    <n v="28.66"/>
  </r>
  <r>
    <s v="CID151"/>
    <d v="2012-05-15T00:00:00"/>
    <x v="2"/>
    <x v="5"/>
    <x v="3"/>
    <s v="Gaya"/>
    <x v="0"/>
    <x v="2"/>
    <n v="72.400000000000006"/>
    <n v="408.89"/>
    <n v="5647.64"/>
    <s v="High"/>
    <x v="1"/>
    <s v="Urea"/>
    <n v="86.94"/>
    <n v="880.73"/>
    <s v="Black"/>
    <n v="28.59"/>
  </r>
  <r>
    <s v="CID152"/>
    <d v="2017-11-16T00:00:00"/>
    <x v="6"/>
    <x v="6"/>
    <x v="0"/>
    <s v="Gurgaon"/>
    <x v="2"/>
    <x v="3"/>
    <n v="15.99"/>
    <n v="82.24"/>
    <n v="5143"/>
    <s v="High"/>
    <x v="1"/>
    <s v="DAP"/>
    <n v="175.45"/>
    <n v="811.48"/>
    <s v="Laterite"/>
    <n v="33.090000000000003"/>
  </r>
  <r>
    <s v="CID153"/>
    <d v="2019-01-07T00:00:00"/>
    <x v="3"/>
    <x v="5"/>
    <x v="3"/>
    <s v="Patna"/>
    <x v="2"/>
    <x v="2"/>
    <n v="48.36"/>
    <n v="157.69999999999999"/>
    <n v="3260.95"/>
    <s v="Medium"/>
    <x v="3"/>
    <s v="Vermicompost"/>
    <n v="164.92"/>
    <n v="733.13"/>
    <s v="Sandy"/>
    <n v="25.31"/>
  </r>
  <r>
    <s v="CID154"/>
    <d v="2014-01-29T00:00:00"/>
    <x v="1"/>
    <x v="3"/>
    <x v="2"/>
    <s v="Bangalore"/>
    <x v="2"/>
    <x v="1"/>
    <n v="30.55"/>
    <n v="203.12"/>
    <n v="6648.91"/>
    <s v="High"/>
    <x v="2"/>
    <s v="Vermicompost"/>
    <n v="242.79"/>
    <n v="904.9"/>
    <s v="Laterite"/>
    <n v="24.76"/>
  </r>
  <r>
    <s v="CID155"/>
    <d v="2015-01-13T00:00:00"/>
    <x v="9"/>
    <x v="4"/>
    <x v="3"/>
    <s v="Darjeeling"/>
    <x v="2"/>
    <x v="5"/>
    <n v="57.77"/>
    <n v="246.05"/>
    <n v="4259.1499999999996"/>
    <s v="Medium"/>
    <x v="1"/>
    <s v="Urea"/>
    <n v="254.59"/>
    <n v="1154.6099999999999"/>
    <s v="Red"/>
    <n v="24.36"/>
  </r>
  <r>
    <s v="CID156"/>
    <d v="2021-03-31T00:00:00"/>
    <x v="11"/>
    <x v="2"/>
    <x v="1"/>
    <s v="Pune"/>
    <x v="2"/>
    <x v="2"/>
    <n v="48.43"/>
    <n v="107.15"/>
    <n v="2212.41"/>
    <s v="Low"/>
    <x v="2"/>
    <s v="DAP"/>
    <n v="283.26"/>
    <n v="896.17"/>
    <s v="Red"/>
    <n v="21.64"/>
  </r>
  <r>
    <s v="CID157"/>
    <d v="2020-05-06T00:00:00"/>
    <x v="11"/>
    <x v="6"/>
    <x v="0"/>
    <s v="Gurgaon"/>
    <x v="0"/>
    <x v="4"/>
    <n v="64.16"/>
    <n v="84.37"/>
    <n v="1314.95"/>
    <s v="Low"/>
    <x v="1"/>
    <s v="DAP"/>
    <n v="132.57"/>
    <n v="672.4"/>
    <s v="Red"/>
    <n v="20.079999999999998"/>
  </r>
  <r>
    <s v="CID158"/>
    <d v="2017-12-30T00:00:00"/>
    <x v="6"/>
    <x v="3"/>
    <x v="2"/>
    <s v="Hubli"/>
    <x v="2"/>
    <x v="2"/>
    <n v="20.75"/>
    <n v="140.76"/>
    <n v="6783.48"/>
    <s v="High"/>
    <x v="2"/>
    <s v="Vermicompost"/>
    <n v="121.35"/>
    <n v="259.16000000000003"/>
    <s v="Black"/>
    <n v="29.78"/>
  </r>
  <r>
    <s v="CID159"/>
    <d v="2010-08-14T00:00:00"/>
    <x v="0"/>
    <x v="0"/>
    <x v="0"/>
    <s v="Varanasi"/>
    <x v="1"/>
    <x v="3"/>
    <n v="88.34"/>
    <n v="181.51"/>
    <n v="2054.73"/>
    <s v="Low"/>
    <x v="0"/>
    <s v="Urea"/>
    <n v="299.29000000000002"/>
    <n v="596.99"/>
    <s v="Laterite"/>
    <n v="22.79"/>
  </r>
  <r>
    <s v="CID160"/>
    <d v="2019-04-09T00:00:00"/>
    <x v="12"/>
    <x v="1"/>
    <x v="0"/>
    <s v="Amritsar"/>
    <x v="0"/>
    <x v="5"/>
    <n v="92.92"/>
    <n v="279.70999999999998"/>
    <n v="3010.25"/>
    <s v="Medium"/>
    <x v="1"/>
    <s v="Vermicompost"/>
    <n v="297.27"/>
    <n v="743.3"/>
    <s v="Laterite"/>
    <n v="33.340000000000003"/>
  </r>
  <r>
    <s v="CID161"/>
    <d v="2013-10-24T00:00:00"/>
    <x v="1"/>
    <x v="3"/>
    <x v="2"/>
    <s v="Mysore"/>
    <x v="1"/>
    <x v="0"/>
    <n v="17.09"/>
    <n v="64.150000000000006"/>
    <n v="3753.49"/>
    <s v="Medium"/>
    <x v="2"/>
    <s v="DAP"/>
    <n v="229.65"/>
    <n v="214.08"/>
    <s v="Alluvial"/>
    <n v="31.86"/>
  </r>
  <r>
    <s v="CID162"/>
    <d v="2020-11-02T00:00:00"/>
    <x v="11"/>
    <x v="6"/>
    <x v="0"/>
    <s v="Hisar"/>
    <x v="2"/>
    <x v="3"/>
    <n v="52.01"/>
    <n v="79.08"/>
    <n v="1520.43"/>
    <s v="Low"/>
    <x v="0"/>
    <s v="NPK"/>
    <n v="96.2"/>
    <n v="340.61"/>
    <s v="Alluvial"/>
    <n v="34.04"/>
  </r>
  <r>
    <s v="CID163"/>
    <d v="2017-12-01T00:00:00"/>
    <x v="6"/>
    <x v="3"/>
    <x v="2"/>
    <s v="Bangalore"/>
    <x v="2"/>
    <x v="0"/>
    <n v="30.89"/>
    <n v="164.87"/>
    <n v="5337.3"/>
    <s v="High"/>
    <x v="0"/>
    <s v="Compost"/>
    <n v="115.39"/>
    <n v="559.54999999999995"/>
    <s v="Red"/>
    <n v="20.93"/>
  </r>
  <r>
    <s v="CID164"/>
    <d v="2016-04-15T00:00:00"/>
    <x v="4"/>
    <x v="2"/>
    <x v="1"/>
    <s v="Nagpur"/>
    <x v="0"/>
    <x v="1"/>
    <n v="92.39"/>
    <n v="584.53"/>
    <n v="6326.81"/>
    <s v="High"/>
    <x v="2"/>
    <s v="DAP"/>
    <n v="222.57"/>
    <n v="838.71"/>
    <s v="Alluvial"/>
    <n v="25.51"/>
  </r>
  <r>
    <s v="CID165"/>
    <d v="2012-11-21T00:00:00"/>
    <x v="2"/>
    <x v="6"/>
    <x v="0"/>
    <s v="Faridabad"/>
    <x v="2"/>
    <x v="2"/>
    <n v="98.89"/>
    <n v="320.58"/>
    <n v="3241.75"/>
    <s v="Medium"/>
    <x v="1"/>
    <s v="Vermicompost"/>
    <n v="239.34"/>
    <n v="1001.99"/>
    <s v="Red"/>
    <n v="31.43"/>
  </r>
  <r>
    <s v="CID166"/>
    <d v="2022-02-22T00:00:00"/>
    <x v="8"/>
    <x v="3"/>
    <x v="2"/>
    <s v="Hubli"/>
    <x v="2"/>
    <x v="5"/>
    <n v="91.81"/>
    <n v="153.62"/>
    <n v="1673.25"/>
    <s v="Low"/>
    <x v="3"/>
    <s v="Urea"/>
    <n v="193.18"/>
    <n v="349.85"/>
    <s v="Alluvial"/>
    <n v="32.82"/>
  </r>
  <r>
    <s v="CID167"/>
    <d v="2021-05-06T00:00:00"/>
    <x v="8"/>
    <x v="0"/>
    <x v="0"/>
    <s v="Lucknow"/>
    <x v="0"/>
    <x v="3"/>
    <n v="10"/>
    <n v="40.619999999999997"/>
    <n v="4062.25"/>
    <s v="Medium"/>
    <x v="0"/>
    <s v="Compost"/>
    <n v="163.36000000000001"/>
    <n v="713.25"/>
    <s v="Laterite"/>
    <n v="28.46"/>
  </r>
  <r>
    <s v="CID168"/>
    <d v="2021-10-17T00:00:00"/>
    <x v="8"/>
    <x v="0"/>
    <x v="0"/>
    <s v="Kanpur"/>
    <x v="1"/>
    <x v="3"/>
    <n v="26.19"/>
    <n v="26.66"/>
    <n v="1018.09"/>
    <s v="Low"/>
    <x v="3"/>
    <s v="Urea"/>
    <n v="194.58"/>
    <n v="245.29"/>
    <s v="Alluvial"/>
    <n v="30.51"/>
  </r>
  <r>
    <s v="CID169"/>
    <d v="2011-02-05T00:00:00"/>
    <x v="0"/>
    <x v="1"/>
    <x v="0"/>
    <s v="Amritsar"/>
    <x v="2"/>
    <x v="3"/>
    <n v="18.82"/>
    <n v="34.11"/>
    <n v="1812.57"/>
    <s v="Low"/>
    <x v="1"/>
    <s v="Compost"/>
    <n v="143.62"/>
    <n v="1091.33"/>
    <s v="Laterite"/>
    <n v="33.04"/>
  </r>
  <r>
    <s v="CID170"/>
    <d v="2020-04-15T00:00:00"/>
    <x v="11"/>
    <x v="1"/>
    <x v="0"/>
    <s v="Patiala"/>
    <x v="0"/>
    <x v="4"/>
    <n v="65.7"/>
    <n v="202.79"/>
    <n v="3086.62"/>
    <s v="Medium"/>
    <x v="3"/>
    <s v="Urea"/>
    <n v="298.20999999999998"/>
    <n v="593.05999999999995"/>
    <s v="Red"/>
    <n v="30.92"/>
  </r>
  <r>
    <s v="CID171"/>
    <d v="2014-12-19T00:00:00"/>
    <x v="9"/>
    <x v="4"/>
    <x v="3"/>
    <s v="Kolkata"/>
    <x v="2"/>
    <x v="2"/>
    <n v="72.19"/>
    <n v="255.9"/>
    <n v="3544.77"/>
    <s v="Medium"/>
    <x v="1"/>
    <s v="Urea"/>
    <n v="255.84"/>
    <n v="447.51"/>
    <s v="Alluvial"/>
    <n v="22.33"/>
  </r>
  <r>
    <s v="CID172"/>
    <d v="2016-04-03T00:00:00"/>
    <x v="4"/>
    <x v="1"/>
    <x v="0"/>
    <s v="Patiala"/>
    <x v="0"/>
    <x v="5"/>
    <n v="24.83"/>
    <n v="34.86"/>
    <n v="1403.75"/>
    <s v="Low"/>
    <x v="0"/>
    <s v="Compost"/>
    <n v="161.61000000000001"/>
    <n v="872.02"/>
    <s v="Black"/>
    <n v="23.67"/>
  </r>
  <r>
    <s v="CID173"/>
    <d v="2018-08-22T00:00:00"/>
    <x v="3"/>
    <x v="3"/>
    <x v="2"/>
    <s v="Bangalore"/>
    <x v="1"/>
    <x v="5"/>
    <n v="14.87"/>
    <n v="103.51"/>
    <n v="6960.9"/>
    <s v="High"/>
    <x v="3"/>
    <s v="DAP"/>
    <n v="253.95"/>
    <n v="931.52"/>
    <s v="Alluvial"/>
    <n v="28.66"/>
  </r>
  <r>
    <s v="CID174"/>
    <d v="2020-04-23T00:00:00"/>
    <x v="11"/>
    <x v="2"/>
    <x v="1"/>
    <s v="Nagpur"/>
    <x v="0"/>
    <x v="4"/>
    <n v="41.94"/>
    <n v="111.18"/>
    <n v="2650.92"/>
    <s v="Low"/>
    <x v="3"/>
    <s v="Compost"/>
    <n v="206.5"/>
    <n v="627.20000000000005"/>
    <s v="Laterite"/>
    <n v="20.7"/>
  </r>
  <r>
    <s v="CID175"/>
    <d v="2015-05-16T00:00:00"/>
    <x v="10"/>
    <x v="4"/>
    <x v="3"/>
    <s v="Darjeeling"/>
    <x v="0"/>
    <x v="3"/>
    <n v="41.42"/>
    <n v="115.95"/>
    <n v="2799.33"/>
    <s v="Low"/>
    <x v="3"/>
    <s v="DAP"/>
    <n v="238.6"/>
    <n v="673.52"/>
    <s v="Red"/>
    <n v="24.51"/>
  </r>
  <r>
    <s v="CID176"/>
    <d v="2010-05-30T00:00:00"/>
    <x v="0"/>
    <x v="4"/>
    <x v="3"/>
    <s v="Howrah"/>
    <x v="0"/>
    <x v="3"/>
    <n v="96.81"/>
    <n v="420.52"/>
    <n v="4343.72"/>
    <s v="Medium"/>
    <x v="3"/>
    <s v="Compost"/>
    <n v="147.1"/>
    <n v="455"/>
    <s v="Alluvial"/>
    <n v="29.7"/>
  </r>
  <r>
    <s v="CID177"/>
    <d v="2011-05-19T00:00:00"/>
    <x v="5"/>
    <x v="4"/>
    <x v="3"/>
    <s v="Howrah"/>
    <x v="0"/>
    <x v="2"/>
    <n v="83.11"/>
    <n v="108.81"/>
    <n v="1309.22"/>
    <s v="Low"/>
    <x v="1"/>
    <s v="Vermicompost"/>
    <n v="218.42"/>
    <n v="802.92"/>
    <s v="Black"/>
    <n v="22.82"/>
  </r>
  <r>
    <s v="CID178"/>
    <d v="2018-07-01T00:00:00"/>
    <x v="3"/>
    <x v="0"/>
    <x v="0"/>
    <s v="Varanasi"/>
    <x v="1"/>
    <x v="3"/>
    <n v="21.68"/>
    <n v="139.66999999999999"/>
    <n v="6442.2"/>
    <s v="High"/>
    <x v="2"/>
    <s v="Compost"/>
    <n v="289.25"/>
    <n v="215.33"/>
    <s v="Red"/>
    <n v="34.43"/>
  </r>
  <r>
    <s v="CID179"/>
    <d v="2019-04-20T00:00:00"/>
    <x v="12"/>
    <x v="6"/>
    <x v="0"/>
    <s v="Hisar"/>
    <x v="0"/>
    <x v="4"/>
    <n v="40.270000000000003"/>
    <n v="98.1"/>
    <n v="2435.9899999999998"/>
    <s v="Low"/>
    <x v="2"/>
    <s v="NPK"/>
    <n v="243.88"/>
    <n v="580.66"/>
    <s v="Sandy"/>
    <n v="29.73"/>
  </r>
  <r>
    <s v="CID180"/>
    <d v="2017-12-27T00:00:00"/>
    <x v="6"/>
    <x v="2"/>
    <x v="1"/>
    <s v="Mumbai"/>
    <x v="2"/>
    <x v="5"/>
    <n v="80.48"/>
    <n v="429.32"/>
    <n v="5334.48"/>
    <s v="High"/>
    <x v="2"/>
    <s v="DAP"/>
    <n v="278.58"/>
    <n v="570.70000000000005"/>
    <s v="Laterite"/>
    <n v="20.69"/>
  </r>
  <r>
    <s v="CID181"/>
    <d v="2018-05-12T00:00:00"/>
    <x v="3"/>
    <x v="1"/>
    <x v="0"/>
    <s v="Amritsar"/>
    <x v="0"/>
    <x v="1"/>
    <n v="72.28"/>
    <n v="200.3"/>
    <n v="2771.15"/>
    <s v="Low"/>
    <x v="3"/>
    <s v="NPK"/>
    <n v="132.47"/>
    <n v="579.84"/>
    <s v="Red"/>
    <n v="27.49"/>
  </r>
  <r>
    <s v="CID182"/>
    <d v="2021-05-27T00:00:00"/>
    <x v="8"/>
    <x v="2"/>
    <x v="1"/>
    <s v="Pune"/>
    <x v="0"/>
    <x v="2"/>
    <n v="49.57"/>
    <n v="99.61"/>
    <n v="2009.4"/>
    <s v="Low"/>
    <x v="2"/>
    <s v="Vermicompost"/>
    <n v="92.32"/>
    <n v="920.31"/>
    <s v="Laterite"/>
    <n v="22.76"/>
  </r>
  <r>
    <s v="CID183"/>
    <d v="2018-07-09T00:00:00"/>
    <x v="3"/>
    <x v="0"/>
    <x v="0"/>
    <s v="Lucknow"/>
    <x v="1"/>
    <x v="5"/>
    <n v="94.57"/>
    <n v="473.73"/>
    <n v="5009.29"/>
    <s v="High"/>
    <x v="0"/>
    <s v="Urea"/>
    <n v="153.1"/>
    <n v="1042.54"/>
    <s v="Red"/>
    <n v="21.02"/>
  </r>
  <r>
    <s v="CID184"/>
    <d v="2017-11-04T00:00:00"/>
    <x v="6"/>
    <x v="6"/>
    <x v="0"/>
    <s v="Hisar"/>
    <x v="2"/>
    <x v="5"/>
    <n v="62.17"/>
    <n v="310.88"/>
    <n v="5000.53"/>
    <s v="High"/>
    <x v="1"/>
    <s v="Urea"/>
    <n v="214.82"/>
    <n v="215.73"/>
    <s v="Sandy"/>
    <n v="28.27"/>
  </r>
  <r>
    <s v="CID185"/>
    <d v="2014-05-04T00:00:00"/>
    <x v="9"/>
    <x v="5"/>
    <x v="3"/>
    <s v="Bhagalpur"/>
    <x v="0"/>
    <x v="0"/>
    <n v="2.7"/>
    <n v="15.87"/>
    <n v="5878.94"/>
    <s v="High"/>
    <x v="1"/>
    <s v="DAP"/>
    <n v="251.54"/>
    <n v="1109.77"/>
    <s v="Black"/>
    <n v="33.770000000000003"/>
  </r>
  <r>
    <s v="CID186"/>
    <d v="2019-05-15T00:00:00"/>
    <x v="12"/>
    <x v="6"/>
    <x v="0"/>
    <s v="Gurgaon"/>
    <x v="0"/>
    <x v="0"/>
    <n v="81.709999999999994"/>
    <n v="212.77"/>
    <n v="2603.9499999999998"/>
    <s v="Low"/>
    <x v="1"/>
    <s v="DAP"/>
    <n v="69.75"/>
    <n v="1159.3"/>
    <s v="Laterite"/>
    <n v="28.48"/>
  </r>
  <r>
    <s v="CID187"/>
    <d v="2011-04-06T00:00:00"/>
    <x v="5"/>
    <x v="2"/>
    <x v="1"/>
    <s v="Mumbai"/>
    <x v="0"/>
    <x v="2"/>
    <n v="76.2"/>
    <n v="118.95"/>
    <n v="1561"/>
    <s v="Low"/>
    <x v="1"/>
    <s v="Compost"/>
    <n v="144.29"/>
    <n v="676.01"/>
    <s v="Black"/>
    <n v="30.54"/>
  </r>
  <r>
    <s v="CID188"/>
    <d v="2020-11-12T00:00:00"/>
    <x v="11"/>
    <x v="4"/>
    <x v="3"/>
    <s v="Howrah"/>
    <x v="2"/>
    <x v="1"/>
    <n v="97.76"/>
    <n v="668.98"/>
    <n v="6843.04"/>
    <s v="High"/>
    <x v="0"/>
    <s v="Urea"/>
    <n v="107.44"/>
    <n v="1101.27"/>
    <s v="Sandy"/>
    <n v="27.13"/>
  </r>
  <r>
    <s v="CID189"/>
    <d v="2018-05-16T00:00:00"/>
    <x v="3"/>
    <x v="0"/>
    <x v="0"/>
    <s v="Kanpur"/>
    <x v="0"/>
    <x v="2"/>
    <n v="4.26"/>
    <n v="28"/>
    <n v="6572.6"/>
    <s v="High"/>
    <x v="2"/>
    <s v="Compost"/>
    <n v="53.91"/>
    <n v="407.16"/>
    <s v="Red"/>
    <n v="31.28"/>
  </r>
  <r>
    <s v="CID190"/>
    <d v="2012-04-23T00:00:00"/>
    <x v="2"/>
    <x v="1"/>
    <x v="0"/>
    <s v="Amritsar"/>
    <x v="0"/>
    <x v="4"/>
    <n v="57.1"/>
    <n v="348.12"/>
    <n v="6096.65"/>
    <s v="High"/>
    <x v="2"/>
    <s v="Urea"/>
    <n v="145.96"/>
    <n v="939.75"/>
    <s v="Black"/>
    <n v="27.51"/>
  </r>
  <r>
    <s v="CID191"/>
    <d v="2013-09-24T00:00:00"/>
    <x v="1"/>
    <x v="1"/>
    <x v="0"/>
    <s v="Amritsar"/>
    <x v="1"/>
    <x v="0"/>
    <n v="60.91"/>
    <n v="285.25"/>
    <n v="4683.1899999999996"/>
    <s v="Medium"/>
    <x v="1"/>
    <s v="Compost"/>
    <n v="292.23"/>
    <n v="526.38"/>
    <s v="Alluvial"/>
    <n v="31.75"/>
  </r>
  <r>
    <s v="CID192"/>
    <d v="2018-11-22T00:00:00"/>
    <x v="3"/>
    <x v="6"/>
    <x v="0"/>
    <s v="Faridabad"/>
    <x v="2"/>
    <x v="3"/>
    <n v="19.39"/>
    <n v="87.55"/>
    <n v="4515.25"/>
    <s v="Medium"/>
    <x v="1"/>
    <s v="NPK"/>
    <n v="71.42"/>
    <n v="818.62"/>
    <s v="Red"/>
    <n v="30.7"/>
  </r>
  <r>
    <s v="CID193"/>
    <d v="2021-04-18T00:00:00"/>
    <x v="8"/>
    <x v="6"/>
    <x v="0"/>
    <s v="Faridabad"/>
    <x v="0"/>
    <x v="4"/>
    <n v="74.23"/>
    <n v="215.27"/>
    <n v="2900.07"/>
    <s v="Low"/>
    <x v="0"/>
    <s v="Urea"/>
    <n v="72.88"/>
    <n v="1142.96"/>
    <s v="Laterite"/>
    <n v="25.4"/>
  </r>
  <r>
    <s v="CID194"/>
    <d v="2013-01-23T00:00:00"/>
    <x v="2"/>
    <x v="6"/>
    <x v="0"/>
    <s v="Gurgaon"/>
    <x v="2"/>
    <x v="3"/>
    <n v="56.14"/>
    <n v="228.75"/>
    <n v="4074.65"/>
    <s v="Medium"/>
    <x v="0"/>
    <s v="Compost"/>
    <n v="56.57"/>
    <n v="553.91"/>
    <s v="Black"/>
    <n v="28.95"/>
  </r>
  <r>
    <s v="CID195"/>
    <d v="2017-01-08T00:00:00"/>
    <x v="4"/>
    <x v="1"/>
    <x v="0"/>
    <s v="Amritsar"/>
    <x v="2"/>
    <x v="5"/>
    <n v="72.760000000000005"/>
    <n v="317.02999999999997"/>
    <n v="4357.22"/>
    <s v="Medium"/>
    <x v="3"/>
    <s v="NPK"/>
    <n v="192.99"/>
    <n v="369.58"/>
    <s v="Laterite"/>
    <n v="22.54"/>
  </r>
  <r>
    <s v="CID196"/>
    <d v="2012-10-05T00:00:00"/>
    <x v="2"/>
    <x v="2"/>
    <x v="1"/>
    <s v="Pune"/>
    <x v="1"/>
    <x v="4"/>
    <n v="44.03"/>
    <n v="155.28"/>
    <n v="3526.61"/>
    <s v="Medium"/>
    <x v="1"/>
    <s v="Vermicompost"/>
    <n v="245.67"/>
    <n v="561.12"/>
    <s v="Red"/>
    <n v="30.81"/>
  </r>
  <r>
    <s v="CID197"/>
    <d v="2017-09-19T00:00:00"/>
    <x v="6"/>
    <x v="5"/>
    <x v="3"/>
    <s v="Patna"/>
    <x v="1"/>
    <x v="4"/>
    <n v="31.16"/>
    <n v="208.55"/>
    <n v="6692.94"/>
    <s v="High"/>
    <x v="2"/>
    <s v="Vermicompost"/>
    <n v="260.39999999999998"/>
    <n v="579.89"/>
    <s v="Alluvial"/>
    <n v="26.6"/>
  </r>
  <r>
    <s v="CID198"/>
    <d v="2015-05-21T00:00:00"/>
    <x v="10"/>
    <x v="6"/>
    <x v="0"/>
    <s v="Faridabad"/>
    <x v="0"/>
    <x v="2"/>
    <n v="20.88"/>
    <n v="60.24"/>
    <n v="2885.1"/>
    <s v="Low"/>
    <x v="1"/>
    <s v="DAP"/>
    <n v="292.18"/>
    <n v="491.45"/>
    <s v="Laterite"/>
    <n v="34.520000000000003"/>
  </r>
  <r>
    <s v="CID199"/>
    <d v="2014-12-24T00:00:00"/>
    <x v="9"/>
    <x v="2"/>
    <x v="1"/>
    <s v="Pune"/>
    <x v="2"/>
    <x v="0"/>
    <n v="12.27"/>
    <n v="53.78"/>
    <n v="4383.1000000000004"/>
    <s v="Medium"/>
    <x v="3"/>
    <s v="Compost"/>
    <n v="220.43"/>
    <n v="750.1"/>
    <s v="Laterite"/>
    <n v="34.14"/>
  </r>
  <r>
    <s v="CID200"/>
    <d v="2021-06-19T00:00:00"/>
    <x v="8"/>
    <x v="4"/>
    <x v="3"/>
    <s v="Howrah"/>
    <x v="1"/>
    <x v="3"/>
    <n v="67.62"/>
    <n v="124.09"/>
    <n v="1835.07"/>
    <s v="Low"/>
    <x v="2"/>
    <s v="Compost"/>
    <n v="110.51"/>
    <n v="858.66"/>
    <s v="Laterite"/>
    <n v="31.84"/>
  </r>
  <r>
    <s v="CID201"/>
    <d v="2020-03-17T00:00:00"/>
    <x v="12"/>
    <x v="5"/>
    <x v="3"/>
    <s v="Gaya"/>
    <x v="2"/>
    <x v="1"/>
    <n v="51.15"/>
    <n v="333.62"/>
    <n v="6522.35"/>
    <s v="High"/>
    <x v="1"/>
    <s v="Vermicompost"/>
    <n v="185.91"/>
    <n v="990.72"/>
    <s v="Alluvial"/>
    <n v="30.52"/>
  </r>
  <r>
    <s v="CID202"/>
    <d v="2011-08-24T00:00:00"/>
    <x v="5"/>
    <x v="0"/>
    <x v="0"/>
    <s v="Lucknow"/>
    <x v="1"/>
    <x v="2"/>
    <n v="66.8"/>
    <n v="133.47"/>
    <n v="1998.03"/>
    <s v="Low"/>
    <x v="0"/>
    <s v="Compost"/>
    <n v="190.81"/>
    <n v="845.03"/>
    <s v="Laterite"/>
    <n v="34.5"/>
  </r>
  <r>
    <s v="CID203"/>
    <d v="2011-12-09T00:00:00"/>
    <x v="5"/>
    <x v="1"/>
    <x v="0"/>
    <s v="Ludhiana"/>
    <x v="2"/>
    <x v="4"/>
    <n v="51.56"/>
    <n v="212.06"/>
    <n v="4112.79"/>
    <s v="Medium"/>
    <x v="3"/>
    <s v="NPK"/>
    <n v="161.44"/>
    <n v="591.13"/>
    <s v="Sandy"/>
    <n v="30.36"/>
  </r>
  <r>
    <s v="CID204"/>
    <d v="2012-01-29T00:00:00"/>
    <x v="5"/>
    <x v="1"/>
    <x v="0"/>
    <s v="Amritsar"/>
    <x v="2"/>
    <x v="3"/>
    <n v="92.13"/>
    <n v="139.59"/>
    <n v="1515.13"/>
    <s v="Low"/>
    <x v="3"/>
    <s v="Compost"/>
    <n v="137.08000000000001"/>
    <n v="543.07000000000005"/>
    <s v="Red"/>
    <n v="27.82"/>
  </r>
  <r>
    <s v="CID205"/>
    <d v="2021-04-11T00:00:00"/>
    <x v="8"/>
    <x v="1"/>
    <x v="0"/>
    <s v="Amritsar"/>
    <x v="0"/>
    <x v="3"/>
    <n v="32.57"/>
    <n v="91.25"/>
    <n v="2801.58"/>
    <s v="Low"/>
    <x v="0"/>
    <s v="DAP"/>
    <n v="55.65"/>
    <n v="543.08000000000004"/>
    <s v="Black"/>
    <n v="30.16"/>
  </r>
  <r>
    <s v="CID206"/>
    <d v="2018-09-19T00:00:00"/>
    <x v="3"/>
    <x v="5"/>
    <x v="3"/>
    <s v="Patna"/>
    <x v="1"/>
    <x v="0"/>
    <n v="56.43"/>
    <n v="380.95"/>
    <n v="6750.78"/>
    <s v="High"/>
    <x v="3"/>
    <s v="Compost"/>
    <n v="249.44"/>
    <n v="829.76"/>
    <s v="Red"/>
    <n v="29.61"/>
  </r>
  <r>
    <s v="CID207"/>
    <d v="2019-10-16T00:00:00"/>
    <x v="12"/>
    <x v="1"/>
    <x v="0"/>
    <s v="Patiala"/>
    <x v="1"/>
    <x v="3"/>
    <n v="59.63"/>
    <n v="198.75"/>
    <n v="3333.01"/>
    <s v="Medium"/>
    <x v="3"/>
    <s v="DAP"/>
    <n v="101.45"/>
    <n v="952.33"/>
    <s v="Black"/>
    <n v="28.66"/>
  </r>
  <r>
    <s v="CID208"/>
    <d v="2014-01-30T00:00:00"/>
    <x v="1"/>
    <x v="2"/>
    <x v="1"/>
    <s v="Pune"/>
    <x v="2"/>
    <x v="5"/>
    <n v="26.97"/>
    <n v="166.56"/>
    <n v="6175.82"/>
    <s v="High"/>
    <x v="2"/>
    <s v="Compost"/>
    <n v="199.24"/>
    <n v="811.31"/>
    <s v="Sandy"/>
    <n v="21.71"/>
  </r>
  <r>
    <s v="CID209"/>
    <d v="2020-05-15T00:00:00"/>
    <x v="11"/>
    <x v="5"/>
    <x v="3"/>
    <s v="Patna"/>
    <x v="0"/>
    <x v="0"/>
    <n v="91.95"/>
    <n v="417.55"/>
    <n v="4541.01"/>
    <s v="Medium"/>
    <x v="3"/>
    <s v="DAP"/>
    <n v="128.30000000000001"/>
    <n v="438.57"/>
    <s v="Black"/>
    <n v="22.75"/>
  </r>
  <r>
    <s v="CID210"/>
    <d v="2016-05-02T00:00:00"/>
    <x v="4"/>
    <x v="5"/>
    <x v="3"/>
    <s v="Gaya"/>
    <x v="0"/>
    <x v="4"/>
    <n v="57.91"/>
    <n v="204.9"/>
    <n v="3538.23"/>
    <s v="Medium"/>
    <x v="1"/>
    <s v="NPK"/>
    <n v="208.88"/>
    <n v="893.43"/>
    <s v="Red"/>
    <n v="28.32"/>
  </r>
  <r>
    <s v="CID211"/>
    <d v="2016-03-09T00:00:00"/>
    <x v="10"/>
    <x v="6"/>
    <x v="0"/>
    <s v="Gurgaon"/>
    <x v="2"/>
    <x v="1"/>
    <n v="6.31"/>
    <n v="19.899999999999999"/>
    <n v="3154.24"/>
    <s v="Medium"/>
    <x v="0"/>
    <s v="Compost"/>
    <n v="171.15"/>
    <n v="395.13"/>
    <s v="Laterite"/>
    <n v="34.46"/>
  </r>
  <r>
    <s v="CID212"/>
    <d v="2018-01-10T00:00:00"/>
    <x v="6"/>
    <x v="3"/>
    <x v="2"/>
    <s v="Hubli"/>
    <x v="2"/>
    <x v="2"/>
    <n v="84.15"/>
    <n v="330.89"/>
    <n v="3932.2"/>
    <s v="Medium"/>
    <x v="0"/>
    <s v="DAP"/>
    <n v="191.35"/>
    <n v="995.88"/>
    <s v="Red"/>
    <n v="24.38"/>
  </r>
  <r>
    <s v="CID213"/>
    <d v="2013-02-02T00:00:00"/>
    <x v="2"/>
    <x v="5"/>
    <x v="3"/>
    <s v="Gaya"/>
    <x v="2"/>
    <x v="1"/>
    <n v="74.510000000000005"/>
    <n v="416.92"/>
    <n v="5595.52"/>
    <s v="High"/>
    <x v="0"/>
    <s v="Vermicompost"/>
    <n v="193.18"/>
    <n v="467.89"/>
    <s v="Sandy"/>
    <n v="32.35"/>
  </r>
  <r>
    <s v="CID214"/>
    <d v="2022-04-03T00:00:00"/>
    <x v="7"/>
    <x v="4"/>
    <x v="3"/>
    <s v="Kolkata"/>
    <x v="0"/>
    <x v="3"/>
    <n v="55.09"/>
    <n v="382.25"/>
    <n v="6938.65"/>
    <s v="High"/>
    <x v="0"/>
    <s v="Compost"/>
    <n v="234"/>
    <n v="853.67"/>
    <s v="Red"/>
    <n v="24.47"/>
  </r>
  <r>
    <s v="CID215"/>
    <d v="2011-12-06T00:00:00"/>
    <x v="5"/>
    <x v="2"/>
    <x v="1"/>
    <s v="Pune"/>
    <x v="2"/>
    <x v="5"/>
    <n v="77.790000000000006"/>
    <n v="188.38"/>
    <n v="2421.6799999999998"/>
    <s v="Low"/>
    <x v="2"/>
    <s v="DAP"/>
    <n v="265.26"/>
    <n v="810.26"/>
    <s v="Laterite"/>
    <n v="22.49"/>
  </r>
  <r>
    <s v="CID216"/>
    <d v="2022-10-10T00:00:00"/>
    <x v="7"/>
    <x v="4"/>
    <x v="3"/>
    <s v="Kolkata"/>
    <x v="1"/>
    <x v="1"/>
    <n v="35.729999999999997"/>
    <n v="95.99"/>
    <n v="2686.51"/>
    <s v="Low"/>
    <x v="3"/>
    <s v="Urea"/>
    <n v="130.91"/>
    <n v="904.05"/>
    <s v="Alluvial"/>
    <n v="28.59"/>
  </r>
  <r>
    <s v="CID217"/>
    <d v="2011-02-09T00:00:00"/>
    <x v="0"/>
    <x v="6"/>
    <x v="0"/>
    <s v="Faridabad"/>
    <x v="2"/>
    <x v="2"/>
    <n v="13.56"/>
    <n v="84.02"/>
    <n v="6196.47"/>
    <s v="High"/>
    <x v="3"/>
    <s v="Compost"/>
    <n v="86.56"/>
    <n v="522.1"/>
    <s v="Red"/>
    <n v="31.42"/>
  </r>
  <r>
    <s v="CID218"/>
    <d v="2021-03-05T00:00:00"/>
    <x v="11"/>
    <x v="6"/>
    <x v="0"/>
    <s v="Hisar"/>
    <x v="2"/>
    <x v="2"/>
    <n v="42.01"/>
    <n v="155.94"/>
    <n v="3711.95"/>
    <s v="Medium"/>
    <x v="0"/>
    <s v="NPK"/>
    <n v="150.71"/>
    <n v="949.8"/>
    <s v="Alluvial"/>
    <n v="26.82"/>
  </r>
  <r>
    <s v="CID219"/>
    <d v="2022-04-28T00:00:00"/>
    <x v="7"/>
    <x v="5"/>
    <x v="3"/>
    <s v="Patna"/>
    <x v="0"/>
    <x v="5"/>
    <n v="73.36"/>
    <n v="275.14999999999998"/>
    <n v="3750.7"/>
    <s v="Medium"/>
    <x v="2"/>
    <s v="DAP"/>
    <n v="262.52999999999997"/>
    <n v="995.68"/>
    <s v="Laterite"/>
    <n v="23.27"/>
  </r>
  <r>
    <s v="CID220"/>
    <d v="2016-02-26T00:00:00"/>
    <x v="10"/>
    <x v="3"/>
    <x v="2"/>
    <s v="Mysore"/>
    <x v="2"/>
    <x v="0"/>
    <n v="55.18"/>
    <n v="98.42"/>
    <n v="1783.57"/>
    <s v="Low"/>
    <x v="1"/>
    <s v="Urea"/>
    <n v="247.08"/>
    <n v="1094.1500000000001"/>
    <s v="Black"/>
    <n v="20.69"/>
  </r>
  <r>
    <s v="CID221"/>
    <d v="2018-02-01T00:00:00"/>
    <x v="6"/>
    <x v="1"/>
    <x v="0"/>
    <s v="Ludhiana"/>
    <x v="2"/>
    <x v="5"/>
    <n v="99.19"/>
    <n v="353.79"/>
    <n v="3566.8"/>
    <s v="Medium"/>
    <x v="3"/>
    <s v="NPK"/>
    <n v="270.54000000000002"/>
    <n v="501.87"/>
    <s v="Alluvial"/>
    <n v="21.4"/>
  </r>
  <r>
    <s v="CID222"/>
    <d v="2020-05-01T00:00:00"/>
    <x v="11"/>
    <x v="1"/>
    <x v="0"/>
    <s v="Amritsar"/>
    <x v="0"/>
    <x v="4"/>
    <n v="6.13"/>
    <n v="29.14"/>
    <n v="4753.63"/>
    <s v="Medium"/>
    <x v="3"/>
    <s v="Urea"/>
    <n v="157.31"/>
    <n v="291.2"/>
    <s v="Black"/>
    <n v="20.02"/>
  </r>
  <r>
    <s v="CID223"/>
    <d v="2013-05-01T00:00:00"/>
    <x v="1"/>
    <x v="6"/>
    <x v="0"/>
    <s v="Hisar"/>
    <x v="0"/>
    <x v="2"/>
    <n v="45.06"/>
    <n v="47.24"/>
    <n v="1048.3800000000001"/>
    <s v="Low"/>
    <x v="2"/>
    <s v="Urea"/>
    <n v="254.28"/>
    <n v="1188.1500000000001"/>
    <s v="Laterite"/>
    <n v="30.41"/>
  </r>
  <r>
    <s v="CID224"/>
    <d v="2011-05-14T00:00:00"/>
    <x v="5"/>
    <x v="6"/>
    <x v="0"/>
    <s v="Faridabad"/>
    <x v="0"/>
    <x v="5"/>
    <n v="11.22"/>
    <n v="35.96"/>
    <n v="3205.37"/>
    <s v="Medium"/>
    <x v="2"/>
    <s v="DAP"/>
    <n v="84.28"/>
    <n v="973.46"/>
    <s v="Red"/>
    <n v="29.62"/>
  </r>
  <r>
    <s v="CID225"/>
    <d v="2019-09-22T00:00:00"/>
    <x v="12"/>
    <x v="1"/>
    <x v="0"/>
    <s v="Patiala"/>
    <x v="1"/>
    <x v="1"/>
    <n v="65.349999999999994"/>
    <n v="237.91"/>
    <n v="3640.6"/>
    <s v="Medium"/>
    <x v="3"/>
    <s v="DAP"/>
    <n v="207.02"/>
    <n v="351.37"/>
    <s v="Laterite"/>
    <n v="29.24"/>
  </r>
  <r>
    <s v="CID226"/>
    <d v="2012-08-03T00:00:00"/>
    <x v="2"/>
    <x v="1"/>
    <x v="0"/>
    <s v="Ludhiana"/>
    <x v="1"/>
    <x v="1"/>
    <n v="73.27"/>
    <n v="227.81"/>
    <n v="3109.21"/>
    <s v="Medium"/>
    <x v="1"/>
    <s v="Vermicompost"/>
    <n v="128.63"/>
    <n v="339.83"/>
    <s v="Alluvial"/>
    <n v="29.67"/>
  </r>
  <r>
    <s v="CID227"/>
    <d v="2021-04-19T00:00:00"/>
    <x v="8"/>
    <x v="5"/>
    <x v="3"/>
    <s v="Bhagalpur"/>
    <x v="0"/>
    <x v="0"/>
    <n v="78.12"/>
    <n v="401.76"/>
    <n v="5142.8599999999997"/>
    <s v="High"/>
    <x v="2"/>
    <s v="Urea"/>
    <n v="101.36"/>
    <n v="806.93"/>
    <s v="Red"/>
    <n v="31.22"/>
  </r>
  <r>
    <s v="CID228"/>
    <d v="2017-12-04T00:00:00"/>
    <x v="6"/>
    <x v="4"/>
    <x v="3"/>
    <s v="Kolkata"/>
    <x v="2"/>
    <x v="5"/>
    <n v="24.87"/>
    <n v="120.08"/>
    <n v="4828.49"/>
    <s v="Medium"/>
    <x v="0"/>
    <s v="Compost"/>
    <n v="182.07"/>
    <n v="1177.7"/>
    <s v="Alluvial"/>
    <n v="34.01"/>
  </r>
  <r>
    <s v="CID229"/>
    <d v="2016-11-16T00:00:00"/>
    <x v="4"/>
    <x v="4"/>
    <x v="3"/>
    <s v="Darjeeling"/>
    <x v="2"/>
    <x v="1"/>
    <n v="68.61"/>
    <n v="382.59"/>
    <n v="5576.36"/>
    <s v="High"/>
    <x v="0"/>
    <s v="Compost"/>
    <n v="54.17"/>
    <n v="267.52999999999997"/>
    <s v="Alluvial"/>
    <n v="23.24"/>
  </r>
  <r>
    <s v="CID230"/>
    <d v="2020-04-06T00:00:00"/>
    <x v="11"/>
    <x v="5"/>
    <x v="3"/>
    <s v="Gaya"/>
    <x v="0"/>
    <x v="1"/>
    <n v="76.94"/>
    <n v="272.48"/>
    <n v="3541.45"/>
    <s v="Medium"/>
    <x v="1"/>
    <s v="NPK"/>
    <n v="70.61"/>
    <n v="736.56"/>
    <s v="Sandy"/>
    <n v="22.29"/>
  </r>
  <r>
    <s v="CID231"/>
    <d v="2013-06-23T00:00:00"/>
    <x v="1"/>
    <x v="1"/>
    <x v="0"/>
    <s v="Patiala"/>
    <x v="1"/>
    <x v="1"/>
    <n v="33.35"/>
    <n v="150.69999999999999"/>
    <n v="4518.62"/>
    <s v="Medium"/>
    <x v="0"/>
    <s v="Compost"/>
    <n v="127.54"/>
    <n v="637.49"/>
    <s v="Red"/>
    <n v="20.87"/>
  </r>
  <r>
    <s v="CID232"/>
    <d v="2019-05-31T00:00:00"/>
    <x v="12"/>
    <x v="1"/>
    <x v="0"/>
    <s v="Amritsar"/>
    <x v="0"/>
    <x v="5"/>
    <n v="31.62"/>
    <n v="172.33"/>
    <n v="5450.16"/>
    <s v="High"/>
    <x v="3"/>
    <s v="NPK"/>
    <n v="79.86"/>
    <n v="907.9"/>
    <s v="Black"/>
    <n v="22.46"/>
  </r>
  <r>
    <s v="CID233"/>
    <d v="2022-04-28T00:00:00"/>
    <x v="7"/>
    <x v="5"/>
    <x v="3"/>
    <s v="Bhagalpur"/>
    <x v="0"/>
    <x v="0"/>
    <n v="17.53"/>
    <n v="30.88"/>
    <n v="1761.58"/>
    <s v="Low"/>
    <x v="2"/>
    <s v="NPK"/>
    <n v="233.23"/>
    <n v="318.06"/>
    <s v="Black"/>
    <n v="25.03"/>
  </r>
  <r>
    <s v="CID234"/>
    <d v="2014-04-17T00:00:00"/>
    <x v="9"/>
    <x v="5"/>
    <x v="3"/>
    <s v="Patna"/>
    <x v="0"/>
    <x v="1"/>
    <n v="63.13"/>
    <n v="251.06"/>
    <n v="3976.89"/>
    <s v="Medium"/>
    <x v="2"/>
    <s v="Urea"/>
    <n v="63.86"/>
    <n v="1059.3599999999999"/>
    <s v="Red"/>
    <n v="25.52"/>
  </r>
  <r>
    <s v="CID235"/>
    <d v="2021-07-16T00:00:00"/>
    <x v="8"/>
    <x v="5"/>
    <x v="3"/>
    <s v="Bhagalpur"/>
    <x v="1"/>
    <x v="4"/>
    <n v="74.34"/>
    <n v="75.489999999999995"/>
    <n v="1015.41"/>
    <s v="Low"/>
    <x v="0"/>
    <s v="Urea"/>
    <n v="111.14"/>
    <n v="671.76"/>
    <s v="Laterite"/>
    <n v="33.799999999999997"/>
  </r>
  <r>
    <s v="CID236"/>
    <d v="2021-05-14T00:00:00"/>
    <x v="8"/>
    <x v="5"/>
    <x v="3"/>
    <s v="Bhagalpur"/>
    <x v="0"/>
    <x v="3"/>
    <n v="23.23"/>
    <n v="57.83"/>
    <n v="2489.58"/>
    <s v="Low"/>
    <x v="2"/>
    <s v="Urea"/>
    <n v="117.81"/>
    <n v="277.89"/>
    <s v="Alluvial"/>
    <n v="21.79"/>
  </r>
  <r>
    <s v="CID237"/>
    <d v="2022-05-06T00:00:00"/>
    <x v="7"/>
    <x v="6"/>
    <x v="0"/>
    <s v="Gurgaon"/>
    <x v="0"/>
    <x v="5"/>
    <n v="95.45"/>
    <n v="134.91999999999999"/>
    <n v="1413.56"/>
    <s v="Low"/>
    <x v="1"/>
    <s v="Compost"/>
    <n v="266.51"/>
    <n v="973.53"/>
    <s v="Alluvial"/>
    <n v="24.91"/>
  </r>
  <r>
    <s v="CID238"/>
    <d v="2013-12-21T00:00:00"/>
    <x v="1"/>
    <x v="1"/>
    <x v="0"/>
    <s v="Amritsar"/>
    <x v="2"/>
    <x v="1"/>
    <n v="78.67"/>
    <n v="427.76"/>
    <n v="5437.46"/>
    <s v="High"/>
    <x v="3"/>
    <s v="Vermicompost"/>
    <n v="165.98"/>
    <n v="791.69"/>
    <s v="Laterite"/>
    <n v="34.97"/>
  </r>
  <r>
    <s v="CID239"/>
    <d v="2012-08-18T00:00:00"/>
    <x v="2"/>
    <x v="4"/>
    <x v="3"/>
    <s v="Kolkata"/>
    <x v="1"/>
    <x v="3"/>
    <n v="3.37"/>
    <n v="14.32"/>
    <n v="4249.2700000000004"/>
    <s v="Medium"/>
    <x v="0"/>
    <s v="Urea"/>
    <n v="287.75"/>
    <n v="201.46"/>
    <s v="Laterite"/>
    <n v="32.74"/>
  </r>
  <r>
    <s v="CID240"/>
    <d v="2014-03-14T00:00:00"/>
    <x v="1"/>
    <x v="6"/>
    <x v="0"/>
    <s v="Hisar"/>
    <x v="2"/>
    <x v="3"/>
    <n v="96.16"/>
    <n v="657.29"/>
    <n v="6835.36"/>
    <s v="High"/>
    <x v="3"/>
    <s v="Compost"/>
    <n v="227.91"/>
    <n v="293.02999999999997"/>
    <s v="Red"/>
    <n v="33.46"/>
  </r>
  <r>
    <s v="CID241"/>
    <d v="2017-04-09T00:00:00"/>
    <x v="6"/>
    <x v="0"/>
    <x v="0"/>
    <s v="Kanpur"/>
    <x v="0"/>
    <x v="5"/>
    <n v="58.5"/>
    <n v="235.91"/>
    <n v="4032.57"/>
    <s v="Medium"/>
    <x v="1"/>
    <s v="DAP"/>
    <n v="68.709999999999994"/>
    <n v="767.82"/>
    <s v="Laterite"/>
    <n v="29.94"/>
  </r>
  <r>
    <s v="CID242"/>
    <d v="2016-03-29T00:00:00"/>
    <x v="10"/>
    <x v="2"/>
    <x v="1"/>
    <s v="Pune"/>
    <x v="2"/>
    <x v="2"/>
    <n v="83.36"/>
    <n v="246.54"/>
    <n v="2957.51"/>
    <s v="Low"/>
    <x v="1"/>
    <s v="Urea"/>
    <n v="117.99"/>
    <n v="274.69"/>
    <s v="Red"/>
    <n v="22.04"/>
  </r>
  <r>
    <s v="CID243"/>
    <d v="2012-12-01T00:00:00"/>
    <x v="2"/>
    <x v="6"/>
    <x v="0"/>
    <s v="Gurgaon"/>
    <x v="2"/>
    <x v="3"/>
    <n v="32.090000000000003"/>
    <n v="55.34"/>
    <n v="1724.42"/>
    <s v="Low"/>
    <x v="2"/>
    <s v="Urea"/>
    <n v="291.16000000000003"/>
    <n v="407.64"/>
    <s v="Alluvial"/>
    <n v="26.95"/>
  </r>
  <r>
    <s v="CID244"/>
    <d v="2014-04-04T00:00:00"/>
    <x v="9"/>
    <x v="6"/>
    <x v="0"/>
    <s v="Hisar"/>
    <x v="0"/>
    <x v="2"/>
    <n v="60.73"/>
    <n v="139.08000000000001"/>
    <n v="2290.12"/>
    <s v="Low"/>
    <x v="2"/>
    <s v="NPK"/>
    <n v="87.08"/>
    <n v="911.16"/>
    <s v="Alluvial"/>
    <n v="25.94"/>
  </r>
  <r>
    <s v="CID245"/>
    <d v="2010-11-16T00:00:00"/>
    <x v="0"/>
    <x v="2"/>
    <x v="1"/>
    <s v="Nagpur"/>
    <x v="2"/>
    <x v="3"/>
    <n v="56.04"/>
    <n v="241.01"/>
    <n v="4300.7299999999996"/>
    <s v="Medium"/>
    <x v="0"/>
    <s v="DAP"/>
    <n v="165.51"/>
    <n v="1003.9"/>
    <s v="Red"/>
    <n v="21.82"/>
  </r>
  <r>
    <s v="CID246"/>
    <d v="2017-02-22T00:00:00"/>
    <x v="4"/>
    <x v="6"/>
    <x v="0"/>
    <s v="Gurgaon"/>
    <x v="2"/>
    <x v="2"/>
    <n v="63.4"/>
    <n v="308.64"/>
    <n v="4868.1099999999997"/>
    <s v="Medium"/>
    <x v="2"/>
    <s v="DAP"/>
    <n v="279.36"/>
    <n v="274.99"/>
    <s v="Black"/>
    <n v="22.97"/>
  </r>
  <r>
    <s v="CID247"/>
    <d v="2011-09-18T00:00:00"/>
    <x v="5"/>
    <x v="1"/>
    <x v="0"/>
    <s v="Amritsar"/>
    <x v="1"/>
    <x v="3"/>
    <n v="6.01"/>
    <n v="39.33"/>
    <n v="6544.79"/>
    <s v="High"/>
    <x v="1"/>
    <s v="DAP"/>
    <n v="255.42"/>
    <n v="595"/>
    <s v="Black"/>
    <n v="25.74"/>
  </r>
  <r>
    <s v="CID248"/>
    <d v="2012-11-23T00:00:00"/>
    <x v="2"/>
    <x v="2"/>
    <x v="1"/>
    <s v="Nagpur"/>
    <x v="2"/>
    <x v="0"/>
    <n v="45.16"/>
    <n v="85.43"/>
    <n v="1891.79"/>
    <s v="Low"/>
    <x v="3"/>
    <s v="NPK"/>
    <n v="211.82"/>
    <n v="698.89"/>
    <s v="Sandy"/>
    <n v="27.19"/>
  </r>
  <r>
    <s v="CID249"/>
    <d v="2016-10-03T00:00:00"/>
    <x v="4"/>
    <x v="3"/>
    <x v="2"/>
    <s v="Bangalore"/>
    <x v="1"/>
    <x v="2"/>
    <n v="88.58"/>
    <n v="368.04"/>
    <n v="4154.88"/>
    <s v="Medium"/>
    <x v="0"/>
    <s v="NPK"/>
    <n v="297.35000000000002"/>
    <n v="981.92"/>
    <s v="Alluvial"/>
    <n v="27.2"/>
  </r>
  <r>
    <s v="CID250"/>
    <d v="2016-02-29T00:00:00"/>
    <x v="10"/>
    <x v="5"/>
    <x v="3"/>
    <s v="Bhagalpur"/>
    <x v="2"/>
    <x v="0"/>
    <n v="18.8"/>
    <n v="54.77"/>
    <n v="2913.27"/>
    <s v="Low"/>
    <x v="3"/>
    <s v="Vermicompost"/>
    <n v="57.33"/>
    <n v="1010.69"/>
    <s v="Alluvial"/>
    <n v="20.88"/>
  </r>
  <r>
    <s v="CID251"/>
    <d v="2013-09-08T00:00:00"/>
    <x v="1"/>
    <x v="2"/>
    <x v="1"/>
    <s v="Mumbai"/>
    <x v="1"/>
    <x v="5"/>
    <n v="25.54"/>
    <n v="62.49"/>
    <n v="2446.92"/>
    <s v="Low"/>
    <x v="0"/>
    <s v="NPK"/>
    <n v="241.01"/>
    <n v="1147.8"/>
    <s v="Sandy"/>
    <n v="32.700000000000003"/>
  </r>
  <r>
    <s v="CID252"/>
    <d v="2012-10-23T00:00:00"/>
    <x v="2"/>
    <x v="4"/>
    <x v="3"/>
    <s v="Kolkata"/>
    <x v="1"/>
    <x v="1"/>
    <n v="32.479999999999997"/>
    <n v="176.32"/>
    <n v="5428.63"/>
    <s v="High"/>
    <x v="2"/>
    <s v="DAP"/>
    <n v="278.5"/>
    <n v="228.21"/>
    <s v="Alluvial"/>
    <n v="34.21"/>
  </r>
  <r>
    <s v="CID253"/>
    <d v="2022-11-01T00:00:00"/>
    <x v="7"/>
    <x v="5"/>
    <x v="3"/>
    <s v="Patna"/>
    <x v="2"/>
    <x v="1"/>
    <n v="31.6"/>
    <n v="124.59"/>
    <n v="3942.62"/>
    <s v="Medium"/>
    <x v="0"/>
    <s v="NPK"/>
    <n v="64.040000000000006"/>
    <n v="801.66"/>
    <s v="Black"/>
    <n v="27.9"/>
  </r>
  <r>
    <s v="CID254"/>
    <d v="2022-10-13T00:00:00"/>
    <x v="7"/>
    <x v="5"/>
    <x v="3"/>
    <s v="Patna"/>
    <x v="1"/>
    <x v="0"/>
    <n v="71.98"/>
    <n v="468.78"/>
    <n v="6512.68"/>
    <s v="High"/>
    <x v="2"/>
    <s v="NPK"/>
    <n v="64.89"/>
    <n v="347.71"/>
    <s v="Red"/>
    <n v="31.62"/>
  </r>
  <r>
    <s v="CID255"/>
    <d v="2021-05-02T00:00:00"/>
    <x v="8"/>
    <x v="1"/>
    <x v="0"/>
    <s v="Amritsar"/>
    <x v="0"/>
    <x v="3"/>
    <n v="59.02"/>
    <n v="178.2"/>
    <n v="3019.37"/>
    <s v="Medium"/>
    <x v="2"/>
    <s v="NPK"/>
    <n v="84.11"/>
    <n v="357.5"/>
    <s v="Laterite"/>
    <n v="31.88"/>
  </r>
  <r>
    <s v="CID256"/>
    <d v="2018-05-17T00:00:00"/>
    <x v="3"/>
    <x v="6"/>
    <x v="0"/>
    <s v="Hisar"/>
    <x v="0"/>
    <x v="1"/>
    <n v="78.91"/>
    <n v="184.6"/>
    <n v="2339.42"/>
    <s v="Low"/>
    <x v="3"/>
    <s v="Urea"/>
    <n v="144.6"/>
    <n v="933.99"/>
    <s v="Alluvial"/>
    <n v="21.91"/>
  </r>
  <r>
    <s v="CID257"/>
    <d v="2016-05-18T00:00:00"/>
    <x v="4"/>
    <x v="0"/>
    <x v="0"/>
    <s v="Varanasi"/>
    <x v="0"/>
    <x v="5"/>
    <n v="19.03"/>
    <n v="55.36"/>
    <n v="2909.3"/>
    <s v="Low"/>
    <x v="3"/>
    <s v="Urea"/>
    <n v="209.91"/>
    <n v="304.11"/>
    <s v="Laterite"/>
    <n v="22.11"/>
  </r>
  <r>
    <s v="CID258"/>
    <d v="2015-08-29T00:00:00"/>
    <x v="10"/>
    <x v="6"/>
    <x v="0"/>
    <s v="Faridabad"/>
    <x v="1"/>
    <x v="2"/>
    <n v="88.65"/>
    <n v="135.84"/>
    <n v="1532.36"/>
    <s v="Low"/>
    <x v="2"/>
    <s v="NPK"/>
    <n v="161.66"/>
    <n v="465.21"/>
    <s v="Red"/>
    <n v="30.4"/>
  </r>
  <r>
    <s v="CID259"/>
    <d v="2021-09-05T00:00:00"/>
    <x v="8"/>
    <x v="4"/>
    <x v="3"/>
    <s v="Kolkata"/>
    <x v="1"/>
    <x v="5"/>
    <n v="39.21"/>
    <n v="211.56"/>
    <n v="5395.51"/>
    <s v="High"/>
    <x v="3"/>
    <s v="Urea"/>
    <n v="271.14"/>
    <n v="693.08"/>
    <s v="Laterite"/>
    <n v="25.27"/>
  </r>
  <r>
    <s v="CID260"/>
    <d v="2022-04-17T00:00:00"/>
    <x v="7"/>
    <x v="4"/>
    <x v="3"/>
    <s v="Howrah"/>
    <x v="0"/>
    <x v="2"/>
    <n v="76.069999999999993"/>
    <n v="179.03"/>
    <n v="2353.5"/>
    <s v="Low"/>
    <x v="1"/>
    <s v="Urea"/>
    <n v="68.430000000000007"/>
    <n v="1045.76"/>
    <s v="Alluvial"/>
    <n v="20.3"/>
  </r>
  <r>
    <s v="CID261"/>
    <d v="2013-02-19T00:00:00"/>
    <x v="2"/>
    <x v="1"/>
    <x v="0"/>
    <s v="Amritsar"/>
    <x v="2"/>
    <x v="4"/>
    <n v="73.47"/>
    <n v="314.62"/>
    <n v="4282.28"/>
    <s v="Medium"/>
    <x v="0"/>
    <s v="DAP"/>
    <n v="134.49"/>
    <n v="1185.28"/>
    <s v="Laterite"/>
    <n v="30.57"/>
  </r>
  <r>
    <s v="CID262"/>
    <d v="2012-08-12T00:00:00"/>
    <x v="2"/>
    <x v="5"/>
    <x v="3"/>
    <s v="Gaya"/>
    <x v="1"/>
    <x v="5"/>
    <n v="33.78"/>
    <n v="231.27"/>
    <n v="6846.39"/>
    <s v="High"/>
    <x v="1"/>
    <s v="NPK"/>
    <n v="224.3"/>
    <n v="922.04"/>
    <s v="Sandy"/>
    <n v="23.98"/>
  </r>
  <r>
    <s v="CID263"/>
    <d v="2011-03-03T00:00:00"/>
    <x v="0"/>
    <x v="6"/>
    <x v="0"/>
    <s v="Gurgaon"/>
    <x v="2"/>
    <x v="1"/>
    <n v="55.42"/>
    <n v="218.67"/>
    <n v="3945.69"/>
    <s v="Medium"/>
    <x v="0"/>
    <s v="DAP"/>
    <n v="140.21"/>
    <n v="627.61"/>
    <s v="Alluvial"/>
    <n v="32.36"/>
  </r>
  <r>
    <s v="CID264"/>
    <d v="2013-08-07T00:00:00"/>
    <x v="1"/>
    <x v="1"/>
    <x v="0"/>
    <s v="Ludhiana"/>
    <x v="1"/>
    <x v="2"/>
    <n v="29.89"/>
    <n v="44.58"/>
    <n v="1491.62"/>
    <s v="Low"/>
    <x v="0"/>
    <s v="Urea"/>
    <n v="127.09"/>
    <n v="597.47"/>
    <s v="Laterite"/>
    <n v="33.42"/>
  </r>
  <r>
    <s v="CID265"/>
    <d v="2016-08-08T00:00:00"/>
    <x v="4"/>
    <x v="0"/>
    <x v="0"/>
    <s v="Varanasi"/>
    <x v="1"/>
    <x v="0"/>
    <n v="88.66"/>
    <n v="285.17"/>
    <n v="3216.41"/>
    <s v="Medium"/>
    <x v="1"/>
    <s v="Vermicompost"/>
    <n v="61.15"/>
    <n v="639.74"/>
    <s v="Alluvial"/>
    <n v="23.39"/>
  </r>
  <r>
    <s v="CID266"/>
    <d v="2022-04-25T00:00:00"/>
    <x v="7"/>
    <x v="1"/>
    <x v="0"/>
    <s v="Ludhiana"/>
    <x v="0"/>
    <x v="2"/>
    <n v="10.57"/>
    <n v="52.94"/>
    <n v="5008.8500000000004"/>
    <s v="High"/>
    <x v="1"/>
    <s v="Vermicompost"/>
    <n v="292.68"/>
    <n v="789.73"/>
    <s v="Sandy"/>
    <n v="20.91"/>
  </r>
  <r>
    <s v="CID267"/>
    <d v="2021-03-13T00:00:00"/>
    <x v="11"/>
    <x v="3"/>
    <x v="2"/>
    <s v="Hubli"/>
    <x v="2"/>
    <x v="1"/>
    <n v="88.28"/>
    <n v="340.55"/>
    <n v="3857.57"/>
    <s v="Medium"/>
    <x v="0"/>
    <s v="Vermicompost"/>
    <n v="148.69999999999999"/>
    <n v="1053.94"/>
    <s v="Black"/>
    <n v="27.53"/>
  </r>
  <r>
    <s v="CID268"/>
    <d v="2012-09-20T00:00:00"/>
    <x v="2"/>
    <x v="0"/>
    <x v="0"/>
    <s v="Varanasi"/>
    <x v="1"/>
    <x v="3"/>
    <n v="18.12"/>
    <n v="125.14"/>
    <n v="6906.21"/>
    <s v="High"/>
    <x v="3"/>
    <s v="DAP"/>
    <n v="252.12"/>
    <n v="326.19"/>
    <s v="Laterite"/>
    <n v="21.18"/>
  </r>
  <r>
    <s v="CID269"/>
    <d v="2012-04-18T00:00:00"/>
    <x v="2"/>
    <x v="4"/>
    <x v="3"/>
    <s v="Darjeeling"/>
    <x v="0"/>
    <x v="0"/>
    <n v="32.659999999999997"/>
    <n v="175.14"/>
    <n v="5362.62"/>
    <s v="High"/>
    <x v="0"/>
    <s v="Vermicompost"/>
    <n v="71.760000000000005"/>
    <n v="756.36"/>
    <s v="Sandy"/>
    <n v="24.89"/>
  </r>
  <r>
    <s v="CID270"/>
    <d v="2022-05-31T00:00:00"/>
    <x v="7"/>
    <x v="3"/>
    <x v="2"/>
    <s v="Bangalore"/>
    <x v="0"/>
    <x v="1"/>
    <n v="59.17"/>
    <n v="336.68"/>
    <n v="5690.11"/>
    <s v="High"/>
    <x v="0"/>
    <s v="Urea"/>
    <n v="153.61000000000001"/>
    <n v="348.2"/>
    <s v="Sandy"/>
    <n v="28.74"/>
  </r>
  <r>
    <s v="CID271"/>
    <d v="2022-06-10T00:00:00"/>
    <x v="7"/>
    <x v="1"/>
    <x v="0"/>
    <s v="Patiala"/>
    <x v="1"/>
    <x v="0"/>
    <n v="86.88"/>
    <n v="545.67999999999995"/>
    <n v="6280.81"/>
    <s v="High"/>
    <x v="1"/>
    <s v="DAP"/>
    <n v="116.03"/>
    <n v="854.79"/>
    <s v="Sandy"/>
    <n v="29.13"/>
  </r>
  <r>
    <s v="CID272"/>
    <d v="2012-05-01T00:00:00"/>
    <x v="2"/>
    <x v="2"/>
    <x v="1"/>
    <s v="Pune"/>
    <x v="0"/>
    <x v="1"/>
    <n v="68.400000000000006"/>
    <n v="233.27"/>
    <n v="3410.32"/>
    <s v="Medium"/>
    <x v="1"/>
    <s v="NPK"/>
    <n v="272.39"/>
    <n v="531.49"/>
    <s v="Red"/>
    <n v="20.74"/>
  </r>
  <r>
    <s v="CID273"/>
    <d v="2016-02-22T00:00:00"/>
    <x v="10"/>
    <x v="2"/>
    <x v="1"/>
    <s v="Nagpur"/>
    <x v="2"/>
    <x v="0"/>
    <n v="28.75"/>
    <n v="113.55"/>
    <n v="3949.72"/>
    <s v="Medium"/>
    <x v="0"/>
    <s v="NPK"/>
    <n v="293.12"/>
    <n v="427.96"/>
    <s v="Alluvial"/>
    <n v="34.61"/>
  </r>
  <r>
    <s v="CID274"/>
    <d v="2016-05-03T00:00:00"/>
    <x v="4"/>
    <x v="2"/>
    <x v="1"/>
    <s v="Mumbai"/>
    <x v="0"/>
    <x v="2"/>
    <n v="9.84"/>
    <n v="35.92"/>
    <n v="3650.3"/>
    <s v="Medium"/>
    <x v="1"/>
    <s v="DAP"/>
    <n v="235.24"/>
    <n v="959.49"/>
    <s v="Alluvial"/>
    <n v="32.32"/>
  </r>
  <r>
    <s v="CID275"/>
    <d v="2021-04-16T00:00:00"/>
    <x v="8"/>
    <x v="1"/>
    <x v="0"/>
    <s v="Amritsar"/>
    <x v="0"/>
    <x v="3"/>
    <n v="14.43"/>
    <n v="88.14"/>
    <n v="6107.77"/>
    <s v="High"/>
    <x v="0"/>
    <s v="Urea"/>
    <n v="93.43"/>
    <n v="1075.18"/>
    <s v="Red"/>
    <n v="32.549999999999997"/>
  </r>
  <r>
    <s v="CID276"/>
    <d v="2015-05-02T00:00:00"/>
    <x v="10"/>
    <x v="3"/>
    <x v="2"/>
    <s v="Bangalore"/>
    <x v="0"/>
    <x v="4"/>
    <n v="28.12"/>
    <n v="167.06"/>
    <n v="5941.04"/>
    <s v="High"/>
    <x v="1"/>
    <s v="Vermicompost"/>
    <n v="208.85"/>
    <n v="323.87"/>
    <s v="Black"/>
    <n v="23.63"/>
  </r>
  <r>
    <s v="CID277"/>
    <d v="2017-04-04T00:00:00"/>
    <x v="6"/>
    <x v="3"/>
    <x v="2"/>
    <s v="Bangalore"/>
    <x v="0"/>
    <x v="1"/>
    <n v="35.630000000000003"/>
    <n v="70.59"/>
    <n v="1981.08"/>
    <s v="Low"/>
    <x v="2"/>
    <s v="DAP"/>
    <n v="237.24"/>
    <n v="888.85"/>
    <s v="Alluvial"/>
    <n v="20.41"/>
  </r>
  <r>
    <s v="CID278"/>
    <d v="2022-07-04T00:00:00"/>
    <x v="7"/>
    <x v="4"/>
    <x v="3"/>
    <s v="Darjeeling"/>
    <x v="1"/>
    <x v="4"/>
    <n v="65.09"/>
    <n v="329.76"/>
    <n v="5066.17"/>
    <s v="High"/>
    <x v="2"/>
    <s v="DAP"/>
    <n v="212.9"/>
    <n v="713.28"/>
    <s v="Black"/>
    <n v="27.11"/>
  </r>
  <r>
    <s v="CID279"/>
    <d v="2013-12-26T00:00:00"/>
    <x v="1"/>
    <x v="5"/>
    <x v="3"/>
    <s v="Patna"/>
    <x v="2"/>
    <x v="1"/>
    <n v="80.7"/>
    <n v="228.6"/>
    <n v="2832.76"/>
    <s v="Low"/>
    <x v="2"/>
    <s v="Compost"/>
    <n v="155.94999999999999"/>
    <n v="576.48"/>
    <s v="Alluvial"/>
    <n v="26.88"/>
  </r>
  <r>
    <s v="CID280"/>
    <d v="2018-04-07T00:00:00"/>
    <x v="3"/>
    <x v="2"/>
    <x v="1"/>
    <s v="Mumbai"/>
    <x v="0"/>
    <x v="3"/>
    <n v="58.86"/>
    <n v="61.46"/>
    <n v="1044.0899999999999"/>
    <s v="Low"/>
    <x v="2"/>
    <s v="Compost"/>
    <n v="190.36"/>
    <n v="793.77"/>
    <s v="Alluvial"/>
    <n v="24.48"/>
  </r>
  <r>
    <s v="CID281"/>
    <d v="2014-05-22T00:00:00"/>
    <x v="9"/>
    <x v="1"/>
    <x v="0"/>
    <s v="Amritsar"/>
    <x v="0"/>
    <x v="0"/>
    <n v="86.29"/>
    <n v="221.5"/>
    <n v="2566.88"/>
    <s v="Low"/>
    <x v="2"/>
    <s v="Vermicompost"/>
    <n v="97.09"/>
    <n v="717.29"/>
    <s v="Red"/>
    <n v="33.5"/>
  </r>
  <r>
    <s v="CID282"/>
    <d v="2015-05-08T00:00:00"/>
    <x v="10"/>
    <x v="3"/>
    <x v="2"/>
    <s v="Hubli"/>
    <x v="0"/>
    <x v="4"/>
    <n v="72.41"/>
    <n v="357.16"/>
    <n v="4932.3999999999996"/>
    <s v="Medium"/>
    <x v="2"/>
    <s v="Vermicompost"/>
    <n v="114.86"/>
    <n v="618.57000000000005"/>
    <s v="Laterite"/>
    <n v="31.05"/>
  </r>
  <r>
    <s v="CID283"/>
    <d v="2015-04-11T00:00:00"/>
    <x v="10"/>
    <x v="4"/>
    <x v="3"/>
    <s v="Kolkata"/>
    <x v="0"/>
    <x v="2"/>
    <n v="23.01"/>
    <n v="96.82"/>
    <n v="4207.8100000000004"/>
    <s v="Medium"/>
    <x v="1"/>
    <s v="Vermicompost"/>
    <n v="276.63"/>
    <n v="871.87"/>
    <s v="Sandy"/>
    <n v="24.5"/>
  </r>
  <r>
    <s v="CID284"/>
    <d v="2011-12-28T00:00:00"/>
    <x v="5"/>
    <x v="6"/>
    <x v="0"/>
    <s v="Faridabad"/>
    <x v="2"/>
    <x v="4"/>
    <n v="74.349999999999994"/>
    <n v="397.86"/>
    <n v="5351.12"/>
    <s v="High"/>
    <x v="3"/>
    <s v="NPK"/>
    <n v="286.73"/>
    <n v="1099.5899999999999"/>
    <s v="Black"/>
    <n v="23.33"/>
  </r>
  <r>
    <s v="CID285"/>
    <d v="2015-11-19T00:00:00"/>
    <x v="10"/>
    <x v="3"/>
    <x v="2"/>
    <s v="Mysore"/>
    <x v="2"/>
    <x v="1"/>
    <n v="30.11"/>
    <n v="183.89"/>
    <n v="6107.28"/>
    <s v="High"/>
    <x v="1"/>
    <s v="Compost"/>
    <n v="63.42"/>
    <n v="834.4"/>
    <s v="Sandy"/>
    <n v="34.159999999999997"/>
  </r>
  <r>
    <s v="CID286"/>
    <d v="2011-05-28T00:00:00"/>
    <x v="5"/>
    <x v="6"/>
    <x v="0"/>
    <s v="Hisar"/>
    <x v="0"/>
    <x v="3"/>
    <n v="53.45"/>
    <n v="185.93"/>
    <n v="3478.64"/>
    <s v="Medium"/>
    <x v="3"/>
    <s v="Compost"/>
    <n v="84.34"/>
    <n v="400.3"/>
    <s v="Laterite"/>
    <n v="34.81"/>
  </r>
  <r>
    <s v="CID287"/>
    <d v="2021-07-14T00:00:00"/>
    <x v="8"/>
    <x v="6"/>
    <x v="0"/>
    <s v="Faridabad"/>
    <x v="1"/>
    <x v="5"/>
    <n v="49.27"/>
    <n v="235.82"/>
    <n v="4786.2"/>
    <s v="Medium"/>
    <x v="3"/>
    <s v="Vermicompost"/>
    <n v="128.35"/>
    <n v="258.01"/>
    <s v="Laterite"/>
    <n v="24.1"/>
  </r>
  <r>
    <s v="CID288"/>
    <d v="2017-07-22T00:00:00"/>
    <x v="6"/>
    <x v="4"/>
    <x v="3"/>
    <s v="Kolkata"/>
    <x v="1"/>
    <x v="4"/>
    <n v="61.83"/>
    <n v="296.83999999999997"/>
    <n v="4800.93"/>
    <s v="Medium"/>
    <x v="1"/>
    <s v="NPK"/>
    <n v="157.26"/>
    <n v="677.4"/>
    <s v="Black"/>
    <n v="20.57"/>
  </r>
  <r>
    <s v="CID289"/>
    <d v="2022-04-25T00:00:00"/>
    <x v="7"/>
    <x v="1"/>
    <x v="0"/>
    <s v="Amritsar"/>
    <x v="0"/>
    <x v="4"/>
    <n v="2.77"/>
    <n v="2.84"/>
    <n v="1024.74"/>
    <s v="Low"/>
    <x v="3"/>
    <s v="Vermicompost"/>
    <n v="106.57"/>
    <n v="1076.99"/>
    <s v="Alluvial"/>
    <n v="21.93"/>
  </r>
  <r>
    <s v="CID290"/>
    <d v="2012-10-04T00:00:00"/>
    <x v="2"/>
    <x v="5"/>
    <x v="3"/>
    <s v="Gaya"/>
    <x v="1"/>
    <x v="5"/>
    <n v="30.52"/>
    <n v="83.78"/>
    <n v="2744.97"/>
    <s v="Low"/>
    <x v="2"/>
    <s v="NPK"/>
    <n v="158.41999999999999"/>
    <n v="886.78"/>
    <s v="Red"/>
    <n v="25.14"/>
  </r>
  <r>
    <s v="CID291"/>
    <d v="2013-02-02T00:00:00"/>
    <x v="2"/>
    <x v="4"/>
    <x v="3"/>
    <s v="Kolkata"/>
    <x v="2"/>
    <x v="5"/>
    <n v="23.61"/>
    <n v="126.62"/>
    <n v="5363.01"/>
    <s v="High"/>
    <x v="3"/>
    <s v="Urea"/>
    <n v="102.8"/>
    <n v="221.91"/>
    <s v="Sandy"/>
    <n v="22.53"/>
  </r>
  <r>
    <s v="CID292"/>
    <d v="2014-04-25T00:00:00"/>
    <x v="9"/>
    <x v="3"/>
    <x v="2"/>
    <s v="Hubli"/>
    <x v="0"/>
    <x v="1"/>
    <n v="5.81"/>
    <n v="40.479999999999997"/>
    <n v="6968.08"/>
    <s v="High"/>
    <x v="0"/>
    <s v="Urea"/>
    <n v="213.39"/>
    <n v="219.74"/>
    <s v="Black"/>
    <n v="26.25"/>
  </r>
  <r>
    <s v="CID293"/>
    <d v="2017-05-09T00:00:00"/>
    <x v="6"/>
    <x v="5"/>
    <x v="3"/>
    <s v="Gaya"/>
    <x v="0"/>
    <x v="4"/>
    <n v="21.34"/>
    <n v="109.14"/>
    <n v="5114.4399999999996"/>
    <s v="High"/>
    <x v="0"/>
    <s v="DAP"/>
    <n v="125.28"/>
    <n v="861.66"/>
    <s v="Sandy"/>
    <n v="24.05"/>
  </r>
  <r>
    <s v="CID294"/>
    <d v="2018-04-13T00:00:00"/>
    <x v="3"/>
    <x v="3"/>
    <x v="2"/>
    <s v="Bangalore"/>
    <x v="0"/>
    <x v="1"/>
    <n v="12.66"/>
    <n v="21.32"/>
    <n v="1684.08"/>
    <s v="Low"/>
    <x v="0"/>
    <s v="NPK"/>
    <n v="174.43"/>
    <n v="809"/>
    <s v="Alluvial"/>
    <n v="32.47"/>
  </r>
  <r>
    <s v="CID295"/>
    <d v="2014-10-25T00:00:00"/>
    <x v="9"/>
    <x v="0"/>
    <x v="0"/>
    <s v="Kanpur"/>
    <x v="1"/>
    <x v="5"/>
    <n v="55.27"/>
    <n v="357.16"/>
    <n v="6462.14"/>
    <s v="High"/>
    <x v="1"/>
    <s v="Compost"/>
    <n v="132.65"/>
    <n v="202.74"/>
    <s v="Black"/>
    <n v="33.6"/>
  </r>
  <r>
    <s v="CID296"/>
    <d v="2022-04-04T00:00:00"/>
    <x v="7"/>
    <x v="6"/>
    <x v="0"/>
    <s v="Gurgaon"/>
    <x v="0"/>
    <x v="5"/>
    <n v="72.63"/>
    <n v="116.77"/>
    <n v="1607.74"/>
    <s v="Low"/>
    <x v="2"/>
    <s v="Urea"/>
    <n v="211.08"/>
    <n v="656.75"/>
    <s v="Alluvial"/>
    <n v="23.96"/>
  </r>
  <r>
    <s v="CID297"/>
    <d v="2010-12-06T00:00:00"/>
    <x v="0"/>
    <x v="4"/>
    <x v="3"/>
    <s v="Kolkata"/>
    <x v="2"/>
    <x v="0"/>
    <n v="80.36"/>
    <n v="231.13"/>
    <n v="2876.24"/>
    <s v="Low"/>
    <x v="0"/>
    <s v="DAP"/>
    <n v="73.75"/>
    <n v="958.2"/>
    <s v="Black"/>
    <n v="20.149999999999999"/>
  </r>
  <r>
    <s v="CID298"/>
    <d v="2017-04-25T00:00:00"/>
    <x v="6"/>
    <x v="2"/>
    <x v="1"/>
    <s v="Pune"/>
    <x v="0"/>
    <x v="0"/>
    <n v="87.97"/>
    <n v="137.03"/>
    <n v="1557.71"/>
    <s v="Low"/>
    <x v="2"/>
    <s v="Compost"/>
    <n v="95.72"/>
    <n v="600.78"/>
    <s v="Laterite"/>
    <n v="24.08"/>
  </r>
  <r>
    <s v="CID299"/>
    <d v="2020-09-21T00:00:00"/>
    <x v="11"/>
    <x v="4"/>
    <x v="3"/>
    <s v="Howrah"/>
    <x v="1"/>
    <x v="5"/>
    <n v="14.12"/>
    <n v="75.66"/>
    <n v="5358.47"/>
    <s v="High"/>
    <x v="3"/>
    <s v="DAP"/>
    <n v="75.930000000000007"/>
    <n v="1111.23"/>
    <s v="Laterite"/>
    <n v="32.03"/>
  </r>
  <r>
    <s v="CID300"/>
    <d v="2022-11-17T00:00:00"/>
    <x v="7"/>
    <x v="5"/>
    <x v="3"/>
    <s v="Gaya"/>
    <x v="2"/>
    <x v="1"/>
    <n v="3.85"/>
    <n v="19.66"/>
    <n v="5106.78"/>
    <s v="High"/>
    <x v="3"/>
    <s v="NPK"/>
    <n v="170.77"/>
    <n v="688.12"/>
    <s v="Laterite"/>
    <n v="26.61"/>
  </r>
  <r>
    <s v="CID301"/>
    <d v="2010-05-15T00:00:00"/>
    <x v="0"/>
    <x v="0"/>
    <x v="0"/>
    <s v="Kanpur"/>
    <x v="0"/>
    <x v="2"/>
    <n v="52.96"/>
    <n v="289.25"/>
    <n v="5461.74"/>
    <s v="High"/>
    <x v="3"/>
    <s v="Vermicompost"/>
    <n v="294.47000000000003"/>
    <n v="869.84"/>
    <s v="Alluvial"/>
    <n v="27.79"/>
  </r>
  <r>
    <s v="CID302"/>
    <d v="2020-05-12T00:00:00"/>
    <x v="11"/>
    <x v="1"/>
    <x v="0"/>
    <s v="Amritsar"/>
    <x v="0"/>
    <x v="4"/>
    <n v="48.71"/>
    <n v="242.69"/>
    <n v="4982.26"/>
    <s v="Medium"/>
    <x v="1"/>
    <s v="DAP"/>
    <n v="87.16"/>
    <n v="1026.44"/>
    <s v="Sandy"/>
    <n v="20.82"/>
  </r>
  <r>
    <s v="CID303"/>
    <d v="2017-09-05T00:00:00"/>
    <x v="6"/>
    <x v="5"/>
    <x v="3"/>
    <s v="Gaya"/>
    <x v="1"/>
    <x v="5"/>
    <n v="75.39"/>
    <n v="220.43"/>
    <n v="2923.8"/>
    <s v="Low"/>
    <x v="2"/>
    <s v="Compost"/>
    <n v="292.54000000000002"/>
    <n v="250.35"/>
    <s v="Red"/>
    <n v="28.26"/>
  </r>
  <r>
    <s v="CID304"/>
    <d v="2011-11-05T00:00:00"/>
    <x v="5"/>
    <x v="4"/>
    <x v="3"/>
    <s v="Kolkata"/>
    <x v="2"/>
    <x v="3"/>
    <n v="80.319999999999993"/>
    <n v="296.27"/>
    <n v="3688.59"/>
    <s v="Medium"/>
    <x v="1"/>
    <s v="Urea"/>
    <n v="161.77000000000001"/>
    <n v="318.70999999999998"/>
    <s v="Laterite"/>
    <n v="31.18"/>
  </r>
  <r>
    <s v="CID305"/>
    <d v="2010-04-24T00:00:00"/>
    <x v="0"/>
    <x v="3"/>
    <x v="2"/>
    <s v="Mysore"/>
    <x v="0"/>
    <x v="1"/>
    <n v="1.02"/>
    <n v="1.58"/>
    <n v="1545.37"/>
    <s v="Low"/>
    <x v="2"/>
    <s v="Urea"/>
    <n v="272.52999999999997"/>
    <n v="762.33"/>
    <s v="Laterite"/>
    <n v="34.26"/>
  </r>
  <r>
    <s v="CID306"/>
    <d v="2018-01-30T00:00:00"/>
    <x v="6"/>
    <x v="4"/>
    <x v="3"/>
    <s v="Kolkata"/>
    <x v="2"/>
    <x v="1"/>
    <n v="76.97"/>
    <n v="354.04"/>
    <n v="4599.71"/>
    <s v="Medium"/>
    <x v="2"/>
    <s v="NPK"/>
    <n v="228.98"/>
    <n v="314.02"/>
    <s v="Red"/>
    <n v="20.03"/>
  </r>
  <r>
    <s v="CID307"/>
    <d v="2015-05-10T00:00:00"/>
    <x v="10"/>
    <x v="5"/>
    <x v="3"/>
    <s v="Bhagalpur"/>
    <x v="0"/>
    <x v="5"/>
    <n v="5.53"/>
    <n v="10.98"/>
    <n v="1984.93"/>
    <s v="Low"/>
    <x v="3"/>
    <s v="DAP"/>
    <n v="255.46"/>
    <n v="942.51"/>
    <s v="Laterite"/>
    <n v="21.6"/>
  </r>
  <r>
    <s v="CID308"/>
    <d v="2016-09-24T00:00:00"/>
    <x v="4"/>
    <x v="6"/>
    <x v="0"/>
    <s v="Gurgaon"/>
    <x v="1"/>
    <x v="3"/>
    <n v="82.63"/>
    <n v="177.11"/>
    <n v="2143.4699999999998"/>
    <s v="Low"/>
    <x v="2"/>
    <s v="Compost"/>
    <n v="76.94"/>
    <n v="614.47"/>
    <s v="Sandy"/>
    <n v="21.85"/>
  </r>
  <r>
    <s v="CID309"/>
    <d v="2018-07-16T00:00:00"/>
    <x v="3"/>
    <x v="0"/>
    <x v="0"/>
    <s v="Varanasi"/>
    <x v="1"/>
    <x v="3"/>
    <n v="1.43"/>
    <n v="7.75"/>
    <n v="5417.28"/>
    <s v="High"/>
    <x v="1"/>
    <s v="Vermicompost"/>
    <n v="259.7"/>
    <n v="682.93"/>
    <s v="Sandy"/>
    <n v="31.72"/>
  </r>
  <r>
    <s v="CID310"/>
    <d v="2012-08-03T00:00:00"/>
    <x v="2"/>
    <x v="6"/>
    <x v="0"/>
    <s v="Hisar"/>
    <x v="1"/>
    <x v="3"/>
    <n v="66.09"/>
    <n v="306.45999999999998"/>
    <n v="4636.96"/>
    <s v="Medium"/>
    <x v="2"/>
    <s v="NPK"/>
    <n v="176.03"/>
    <n v="584.66"/>
    <s v="Sandy"/>
    <n v="33.74"/>
  </r>
  <r>
    <s v="CID311"/>
    <d v="2015-03-22T00:00:00"/>
    <x v="9"/>
    <x v="3"/>
    <x v="2"/>
    <s v="Mysore"/>
    <x v="2"/>
    <x v="4"/>
    <n v="14.68"/>
    <n v="67.75"/>
    <n v="4615.1499999999996"/>
    <s v="Medium"/>
    <x v="2"/>
    <s v="DAP"/>
    <n v="260.77"/>
    <n v="747.81"/>
    <s v="Alluvial"/>
    <n v="30.68"/>
  </r>
  <r>
    <s v="CID312"/>
    <d v="2019-05-15T00:00:00"/>
    <x v="12"/>
    <x v="6"/>
    <x v="0"/>
    <s v="Gurgaon"/>
    <x v="0"/>
    <x v="0"/>
    <n v="68.97"/>
    <n v="450.18"/>
    <n v="6527.15"/>
    <s v="High"/>
    <x v="3"/>
    <s v="NPK"/>
    <n v="295.33"/>
    <n v="850.09"/>
    <s v="Red"/>
    <n v="27.56"/>
  </r>
  <r>
    <s v="CID313"/>
    <d v="2023-02-17T00:00:00"/>
    <x v="7"/>
    <x v="0"/>
    <x v="0"/>
    <s v="Lucknow"/>
    <x v="2"/>
    <x v="1"/>
    <n v="48.56"/>
    <n v="214.82"/>
    <n v="4423.83"/>
    <s v="Medium"/>
    <x v="1"/>
    <s v="Urea"/>
    <n v="218.56"/>
    <n v="1093.8699999999999"/>
    <s v="Sandy"/>
    <n v="24.29"/>
  </r>
  <r>
    <s v="CID314"/>
    <d v="2010-12-08T00:00:00"/>
    <x v="0"/>
    <x v="5"/>
    <x v="3"/>
    <s v="Patna"/>
    <x v="2"/>
    <x v="4"/>
    <n v="6.25"/>
    <n v="8.3699999999999992"/>
    <n v="1339.63"/>
    <s v="Low"/>
    <x v="2"/>
    <s v="Urea"/>
    <n v="237.55"/>
    <n v="360.94"/>
    <s v="Alluvial"/>
    <n v="30.25"/>
  </r>
  <r>
    <s v="CID315"/>
    <d v="2013-05-21T00:00:00"/>
    <x v="1"/>
    <x v="0"/>
    <x v="0"/>
    <s v="Kanpur"/>
    <x v="0"/>
    <x v="5"/>
    <n v="36.51"/>
    <n v="135.66"/>
    <n v="3715.57"/>
    <s v="Medium"/>
    <x v="3"/>
    <s v="NPK"/>
    <n v="235.6"/>
    <n v="761.27"/>
    <s v="Red"/>
    <n v="27.66"/>
  </r>
  <r>
    <s v="CID316"/>
    <d v="2011-02-22T00:00:00"/>
    <x v="0"/>
    <x v="0"/>
    <x v="0"/>
    <s v="Varanasi"/>
    <x v="2"/>
    <x v="3"/>
    <n v="42.24"/>
    <n v="241.98"/>
    <n v="5728.67"/>
    <s v="High"/>
    <x v="2"/>
    <s v="DAP"/>
    <n v="291.45999999999998"/>
    <n v="253.8"/>
    <s v="Alluvial"/>
    <n v="23.05"/>
  </r>
  <r>
    <s v="CID317"/>
    <d v="2021-05-14T00:00:00"/>
    <x v="8"/>
    <x v="0"/>
    <x v="0"/>
    <s v="Varanasi"/>
    <x v="0"/>
    <x v="0"/>
    <n v="75.760000000000005"/>
    <n v="324.23"/>
    <n v="4279.6899999999996"/>
    <s v="Medium"/>
    <x v="3"/>
    <s v="Urea"/>
    <n v="244.04"/>
    <n v="1164.29"/>
    <s v="Alluvial"/>
    <n v="26.73"/>
  </r>
  <r>
    <s v="CID318"/>
    <d v="2021-04-30T00:00:00"/>
    <x v="8"/>
    <x v="6"/>
    <x v="0"/>
    <s v="Gurgaon"/>
    <x v="0"/>
    <x v="5"/>
    <n v="38.340000000000003"/>
    <n v="136.91"/>
    <n v="3571.05"/>
    <s v="Medium"/>
    <x v="2"/>
    <s v="DAP"/>
    <n v="82.52"/>
    <n v="783.99"/>
    <s v="Alluvial"/>
    <n v="20.079999999999998"/>
  </r>
  <r>
    <s v="CID319"/>
    <d v="2015-05-16T00:00:00"/>
    <x v="10"/>
    <x v="1"/>
    <x v="0"/>
    <s v="Ludhiana"/>
    <x v="0"/>
    <x v="5"/>
    <n v="77.59"/>
    <n v="368.72"/>
    <n v="4752.2"/>
    <s v="Medium"/>
    <x v="2"/>
    <s v="NPK"/>
    <n v="172.64"/>
    <n v="772.68"/>
    <s v="Alluvial"/>
    <n v="21.09"/>
  </r>
  <r>
    <s v="CID320"/>
    <d v="2012-04-22T00:00:00"/>
    <x v="2"/>
    <x v="5"/>
    <x v="3"/>
    <s v="Patna"/>
    <x v="0"/>
    <x v="5"/>
    <n v="78.84"/>
    <n v="154.22999999999999"/>
    <n v="1956.22"/>
    <s v="Low"/>
    <x v="1"/>
    <s v="NPK"/>
    <n v="72.989999999999995"/>
    <n v="421.2"/>
    <s v="Red"/>
    <n v="29.95"/>
  </r>
  <r>
    <s v="CID321"/>
    <d v="2022-05-10T00:00:00"/>
    <x v="7"/>
    <x v="2"/>
    <x v="1"/>
    <s v="Nagpur"/>
    <x v="0"/>
    <x v="1"/>
    <n v="48.01"/>
    <n v="209.71"/>
    <n v="4368.01"/>
    <s v="Medium"/>
    <x v="0"/>
    <s v="Vermicompost"/>
    <n v="78.680000000000007"/>
    <n v="546.01"/>
    <s v="Red"/>
    <n v="33.57"/>
  </r>
  <r>
    <s v="CID322"/>
    <d v="2021-02-04T00:00:00"/>
    <x v="11"/>
    <x v="6"/>
    <x v="0"/>
    <s v="Gurgaon"/>
    <x v="2"/>
    <x v="3"/>
    <n v="91.68"/>
    <n v="611.5"/>
    <n v="6669.93"/>
    <s v="High"/>
    <x v="1"/>
    <s v="Vermicompost"/>
    <n v="114.15"/>
    <n v="923.98"/>
    <s v="Black"/>
    <n v="33.67"/>
  </r>
  <r>
    <s v="CID323"/>
    <d v="2018-03-18T00:00:00"/>
    <x v="6"/>
    <x v="4"/>
    <x v="3"/>
    <s v="Darjeeling"/>
    <x v="2"/>
    <x v="5"/>
    <n v="30.35"/>
    <n v="148.99"/>
    <n v="4909.17"/>
    <s v="Medium"/>
    <x v="2"/>
    <s v="Vermicompost"/>
    <n v="178.47"/>
    <n v="1148.21"/>
    <s v="Red"/>
    <n v="34.57"/>
  </r>
  <r>
    <s v="CID324"/>
    <d v="2011-06-19T00:00:00"/>
    <x v="5"/>
    <x v="1"/>
    <x v="0"/>
    <s v="Patiala"/>
    <x v="1"/>
    <x v="2"/>
    <n v="63.32"/>
    <n v="144.31"/>
    <n v="2279.0500000000002"/>
    <s v="Low"/>
    <x v="1"/>
    <s v="DAP"/>
    <n v="258.92"/>
    <n v="405.58"/>
    <s v="Laterite"/>
    <n v="29.7"/>
  </r>
  <r>
    <s v="CID325"/>
    <d v="2022-02-13T00:00:00"/>
    <x v="8"/>
    <x v="1"/>
    <x v="0"/>
    <s v="Amritsar"/>
    <x v="2"/>
    <x v="5"/>
    <n v="9.66"/>
    <n v="12.81"/>
    <n v="1325.61"/>
    <s v="Low"/>
    <x v="2"/>
    <s v="Compost"/>
    <n v="189.52"/>
    <n v="774.96"/>
    <s v="Red"/>
    <n v="33.659999999999997"/>
  </r>
  <r>
    <s v="CID326"/>
    <d v="2016-11-19T00:00:00"/>
    <x v="4"/>
    <x v="3"/>
    <x v="2"/>
    <s v="Hubli"/>
    <x v="2"/>
    <x v="0"/>
    <n v="2.67"/>
    <n v="13.46"/>
    <n v="5039.79"/>
    <s v="High"/>
    <x v="0"/>
    <s v="NPK"/>
    <n v="210.36"/>
    <n v="818.35"/>
    <s v="Sandy"/>
    <n v="20.68"/>
  </r>
  <r>
    <s v="CID327"/>
    <d v="2014-05-05T00:00:00"/>
    <x v="9"/>
    <x v="5"/>
    <x v="3"/>
    <s v="Patna"/>
    <x v="0"/>
    <x v="0"/>
    <n v="61.05"/>
    <n v="164.17"/>
    <n v="2689.1"/>
    <s v="Low"/>
    <x v="1"/>
    <s v="DAP"/>
    <n v="145.35"/>
    <n v="1022.12"/>
    <s v="Black"/>
    <n v="27.11"/>
  </r>
  <r>
    <s v="CID328"/>
    <d v="2016-04-03T00:00:00"/>
    <x v="4"/>
    <x v="6"/>
    <x v="0"/>
    <s v="Hisar"/>
    <x v="0"/>
    <x v="0"/>
    <n v="96.05"/>
    <n v="179.08"/>
    <n v="1864.45"/>
    <s v="Low"/>
    <x v="2"/>
    <s v="Urea"/>
    <n v="289.35000000000002"/>
    <n v="211.15"/>
    <s v="Sandy"/>
    <n v="22.12"/>
  </r>
  <r>
    <s v="CID329"/>
    <d v="2016-04-12T00:00:00"/>
    <x v="4"/>
    <x v="5"/>
    <x v="3"/>
    <s v="Bhagalpur"/>
    <x v="0"/>
    <x v="1"/>
    <n v="94.75"/>
    <n v="267.97000000000003"/>
    <n v="2828.15"/>
    <s v="Low"/>
    <x v="2"/>
    <s v="DAP"/>
    <n v="102.93"/>
    <n v="1105.6300000000001"/>
    <s v="Sandy"/>
    <n v="22.14"/>
  </r>
  <r>
    <s v="CID330"/>
    <d v="2013-10-19T00:00:00"/>
    <x v="1"/>
    <x v="5"/>
    <x v="3"/>
    <s v="Gaya"/>
    <x v="1"/>
    <x v="4"/>
    <n v="67.430000000000007"/>
    <n v="296.95"/>
    <n v="4403.76"/>
    <s v="Medium"/>
    <x v="0"/>
    <s v="Urea"/>
    <n v="262.85000000000002"/>
    <n v="1132.3699999999999"/>
    <s v="Sandy"/>
    <n v="26.92"/>
  </r>
  <r>
    <s v="CID331"/>
    <d v="2011-11-18T00:00:00"/>
    <x v="5"/>
    <x v="2"/>
    <x v="1"/>
    <s v="Mumbai"/>
    <x v="2"/>
    <x v="5"/>
    <n v="20.54"/>
    <n v="92.09"/>
    <n v="4483.57"/>
    <s v="Medium"/>
    <x v="2"/>
    <s v="DAP"/>
    <n v="139.28"/>
    <n v="871.3"/>
    <s v="Red"/>
    <n v="21.5"/>
  </r>
  <r>
    <s v="CID332"/>
    <d v="2017-12-14T00:00:00"/>
    <x v="6"/>
    <x v="2"/>
    <x v="1"/>
    <s v="Pune"/>
    <x v="2"/>
    <x v="1"/>
    <n v="66.28"/>
    <n v="342.05"/>
    <n v="5160.75"/>
    <s v="High"/>
    <x v="3"/>
    <s v="Urea"/>
    <n v="191.39"/>
    <n v="564.49"/>
    <s v="Alluvial"/>
    <n v="34.380000000000003"/>
  </r>
  <r>
    <s v="CID333"/>
    <d v="2022-08-31T00:00:00"/>
    <x v="7"/>
    <x v="2"/>
    <x v="1"/>
    <s v="Nagpur"/>
    <x v="1"/>
    <x v="2"/>
    <n v="74.239999999999995"/>
    <n v="268.51"/>
    <n v="3616.74"/>
    <s v="Medium"/>
    <x v="2"/>
    <s v="NPK"/>
    <n v="83.58"/>
    <n v="932.97"/>
    <s v="Laterite"/>
    <n v="26.94"/>
  </r>
  <r>
    <s v="CID334"/>
    <d v="2011-06-05T00:00:00"/>
    <x v="5"/>
    <x v="3"/>
    <x v="2"/>
    <s v="Hubli"/>
    <x v="1"/>
    <x v="2"/>
    <n v="61.06"/>
    <n v="369.46"/>
    <n v="6050.76"/>
    <s v="High"/>
    <x v="3"/>
    <s v="Vermicompost"/>
    <n v="272.82"/>
    <n v="396.43"/>
    <s v="Black"/>
    <n v="30.91"/>
  </r>
  <r>
    <s v="CID335"/>
    <d v="2019-05-20T00:00:00"/>
    <x v="12"/>
    <x v="0"/>
    <x v="0"/>
    <s v="Lucknow"/>
    <x v="0"/>
    <x v="3"/>
    <n v="77.150000000000006"/>
    <n v="175.64"/>
    <n v="2276.56"/>
    <s v="Low"/>
    <x v="0"/>
    <s v="DAP"/>
    <n v="187.9"/>
    <n v="743.47"/>
    <s v="Sandy"/>
    <n v="27.08"/>
  </r>
  <r>
    <s v="CID336"/>
    <d v="2013-05-22T00:00:00"/>
    <x v="1"/>
    <x v="2"/>
    <x v="1"/>
    <s v="Pune"/>
    <x v="0"/>
    <x v="2"/>
    <n v="85.86"/>
    <n v="154.83000000000001"/>
    <n v="1803.29"/>
    <s v="Low"/>
    <x v="0"/>
    <s v="Vermicompost"/>
    <n v="149.19999999999999"/>
    <n v="702.17"/>
    <s v="Red"/>
    <n v="32.72"/>
  </r>
  <r>
    <s v="CID337"/>
    <d v="2022-05-19T00:00:00"/>
    <x v="7"/>
    <x v="0"/>
    <x v="0"/>
    <s v="Lucknow"/>
    <x v="0"/>
    <x v="4"/>
    <n v="45.18"/>
    <n v="93.74"/>
    <n v="2074.87"/>
    <s v="Low"/>
    <x v="3"/>
    <s v="Compost"/>
    <n v="233.98"/>
    <n v="683.5"/>
    <s v="Alluvial"/>
    <n v="20.61"/>
  </r>
  <r>
    <s v="CID338"/>
    <d v="2015-01-22T00:00:00"/>
    <x v="9"/>
    <x v="6"/>
    <x v="0"/>
    <s v="Gurgaon"/>
    <x v="2"/>
    <x v="4"/>
    <n v="5.24"/>
    <n v="11.74"/>
    <n v="2240.64"/>
    <s v="Low"/>
    <x v="2"/>
    <s v="Urea"/>
    <n v="147.02000000000001"/>
    <n v="1117.9000000000001"/>
    <s v="Black"/>
    <n v="20.6"/>
  </r>
  <r>
    <s v="CID339"/>
    <d v="2020-11-20T00:00:00"/>
    <x v="11"/>
    <x v="0"/>
    <x v="0"/>
    <s v="Varanasi"/>
    <x v="2"/>
    <x v="2"/>
    <n v="27.07"/>
    <n v="115.48"/>
    <n v="4266.1000000000004"/>
    <s v="Medium"/>
    <x v="3"/>
    <s v="Vermicompost"/>
    <n v="144.16"/>
    <n v="578.52"/>
    <s v="Sandy"/>
    <n v="29.8"/>
  </r>
  <r>
    <s v="CID340"/>
    <d v="2013-04-09T00:00:00"/>
    <x v="1"/>
    <x v="2"/>
    <x v="1"/>
    <s v="Pune"/>
    <x v="0"/>
    <x v="3"/>
    <n v="35.94"/>
    <n v="223.06"/>
    <n v="6206.32"/>
    <s v="High"/>
    <x v="1"/>
    <s v="Compost"/>
    <n v="248.16"/>
    <n v="1087.17"/>
    <s v="Black"/>
    <n v="27.53"/>
  </r>
  <r>
    <s v="CID341"/>
    <d v="2011-04-27T00:00:00"/>
    <x v="5"/>
    <x v="6"/>
    <x v="0"/>
    <s v="Gurgaon"/>
    <x v="0"/>
    <x v="2"/>
    <n v="28.8"/>
    <n v="54.76"/>
    <n v="1901.44"/>
    <s v="Low"/>
    <x v="3"/>
    <s v="NPK"/>
    <n v="140.56"/>
    <n v="917.3"/>
    <s v="Black"/>
    <n v="29.92"/>
  </r>
  <r>
    <s v="CID342"/>
    <d v="2017-04-09T00:00:00"/>
    <x v="6"/>
    <x v="0"/>
    <x v="0"/>
    <s v="Lucknow"/>
    <x v="0"/>
    <x v="3"/>
    <n v="48.42"/>
    <n v="220.06"/>
    <n v="4544.75"/>
    <s v="Medium"/>
    <x v="1"/>
    <s v="Vermicompost"/>
    <n v="55.61"/>
    <n v="243.14"/>
    <s v="Sandy"/>
    <n v="28.89"/>
  </r>
  <r>
    <s v="CID343"/>
    <d v="2012-08-12T00:00:00"/>
    <x v="2"/>
    <x v="1"/>
    <x v="0"/>
    <s v="Patiala"/>
    <x v="1"/>
    <x v="4"/>
    <n v="26.57"/>
    <n v="55.27"/>
    <n v="2080.23"/>
    <s v="Low"/>
    <x v="1"/>
    <s v="Urea"/>
    <n v="199.84"/>
    <n v="763.6"/>
    <s v="Black"/>
    <n v="33.18"/>
  </r>
  <r>
    <s v="CID344"/>
    <d v="2020-03-10T00:00:00"/>
    <x v="12"/>
    <x v="6"/>
    <x v="0"/>
    <s v="Faridabad"/>
    <x v="2"/>
    <x v="3"/>
    <n v="17.89"/>
    <n v="107.02"/>
    <n v="5982.18"/>
    <s v="High"/>
    <x v="3"/>
    <s v="NPK"/>
    <n v="248.65"/>
    <n v="1020.45"/>
    <s v="Red"/>
    <n v="29.35"/>
  </r>
  <r>
    <s v="CID345"/>
    <d v="2021-03-10T00:00:00"/>
    <x v="11"/>
    <x v="6"/>
    <x v="0"/>
    <s v="Hisar"/>
    <x v="2"/>
    <x v="3"/>
    <n v="60.06"/>
    <n v="84.87"/>
    <n v="1413.06"/>
    <s v="Low"/>
    <x v="1"/>
    <s v="Compost"/>
    <n v="146.37"/>
    <n v="308.57"/>
    <s v="Red"/>
    <n v="27.84"/>
  </r>
  <r>
    <s v="CID346"/>
    <d v="2019-07-04T00:00:00"/>
    <x v="12"/>
    <x v="4"/>
    <x v="3"/>
    <s v="Kolkata"/>
    <x v="1"/>
    <x v="4"/>
    <n v="48.11"/>
    <n v="225.56"/>
    <n v="4688.49"/>
    <s v="Medium"/>
    <x v="0"/>
    <s v="Vermicompost"/>
    <n v="269.44"/>
    <n v="731.43"/>
    <s v="Black"/>
    <n v="21.4"/>
  </r>
  <r>
    <s v="CID347"/>
    <d v="2022-04-25T00:00:00"/>
    <x v="7"/>
    <x v="5"/>
    <x v="3"/>
    <s v="Patna"/>
    <x v="0"/>
    <x v="2"/>
    <n v="43.72"/>
    <n v="154.07"/>
    <n v="3524.1"/>
    <s v="Medium"/>
    <x v="0"/>
    <s v="NPK"/>
    <n v="224.41"/>
    <n v="628.96"/>
    <s v="Laterite"/>
    <n v="31.84"/>
  </r>
  <r>
    <s v="CID348"/>
    <d v="2022-05-27T00:00:00"/>
    <x v="7"/>
    <x v="5"/>
    <x v="3"/>
    <s v="Bhagalpur"/>
    <x v="0"/>
    <x v="1"/>
    <n v="10.67"/>
    <n v="19.239999999999998"/>
    <n v="1803.3"/>
    <s v="Low"/>
    <x v="1"/>
    <s v="Vermicompost"/>
    <n v="241.46"/>
    <n v="1110.0899999999999"/>
    <s v="Black"/>
    <n v="24.25"/>
  </r>
  <r>
    <s v="CID349"/>
    <d v="2013-08-20T00:00:00"/>
    <x v="1"/>
    <x v="3"/>
    <x v="2"/>
    <s v="Mysore"/>
    <x v="1"/>
    <x v="2"/>
    <n v="74.62"/>
    <n v="77.8"/>
    <n v="1042.68"/>
    <s v="Low"/>
    <x v="0"/>
    <s v="Compost"/>
    <n v="179.94"/>
    <n v="575.03"/>
    <s v="Red"/>
    <n v="30.32"/>
  </r>
  <r>
    <s v="CID350"/>
    <d v="2013-02-14T00:00:00"/>
    <x v="2"/>
    <x v="2"/>
    <x v="1"/>
    <s v="Nagpur"/>
    <x v="2"/>
    <x v="2"/>
    <n v="58.95"/>
    <n v="151.37"/>
    <n v="2567.8200000000002"/>
    <s v="Low"/>
    <x v="1"/>
    <s v="Vermicompost"/>
    <n v="191.17"/>
    <n v="811.88"/>
    <s v="Laterite"/>
    <n v="31.32"/>
  </r>
  <r>
    <s v="CID351"/>
    <d v="2017-07-01T00:00:00"/>
    <x v="6"/>
    <x v="4"/>
    <x v="3"/>
    <s v="Darjeeling"/>
    <x v="1"/>
    <x v="0"/>
    <n v="56.35"/>
    <n v="219.91"/>
    <n v="3902.56"/>
    <s v="Medium"/>
    <x v="2"/>
    <s v="DAP"/>
    <n v="194.41"/>
    <n v="974.19"/>
    <s v="Laterite"/>
    <n v="31.04"/>
  </r>
  <r>
    <s v="CID352"/>
    <d v="2012-07-08T00:00:00"/>
    <x v="2"/>
    <x v="3"/>
    <x v="2"/>
    <s v="Hubli"/>
    <x v="1"/>
    <x v="4"/>
    <n v="51.33"/>
    <n v="293.43"/>
    <n v="5716.49"/>
    <s v="High"/>
    <x v="0"/>
    <s v="Compost"/>
    <n v="90.18"/>
    <n v="1164.57"/>
    <s v="Black"/>
    <n v="32.07"/>
  </r>
  <r>
    <s v="CID353"/>
    <d v="2011-10-12T00:00:00"/>
    <x v="5"/>
    <x v="5"/>
    <x v="3"/>
    <s v="Gaya"/>
    <x v="1"/>
    <x v="0"/>
    <n v="22.96"/>
    <n v="33.99"/>
    <n v="1480.24"/>
    <s v="Low"/>
    <x v="0"/>
    <s v="NPK"/>
    <n v="231.12"/>
    <n v="1130.68"/>
    <s v="Laterite"/>
    <n v="29.21"/>
  </r>
  <r>
    <s v="CID354"/>
    <d v="2010-07-30T00:00:00"/>
    <x v="0"/>
    <x v="0"/>
    <x v="0"/>
    <s v="Varanasi"/>
    <x v="1"/>
    <x v="2"/>
    <n v="49.94"/>
    <n v="53.15"/>
    <n v="1064.26"/>
    <s v="Low"/>
    <x v="2"/>
    <s v="Vermicompost"/>
    <n v="98.69"/>
    <n v="983.96"/>
    <s v="Sandy"/>
    <n v="27.74"/>
  </r>
  <r>
    <s v="CID355"/>
    <d v="2011-02-12T00:00:00"/>
    <x v="0"/>
    <x v="6"/>
    <x v="0"/>
    <s v="Hisar"/>
    <x v="2"/>
    <x v="4"/>
    <n v="65.849999999999994"/>
    <n v="451.33"/>
    <n v="6853.88"/>
    <s v="High"/>
    <x v="0"/>
    <s v="Vermicompost"/>
    <n v="299.2"/>
    <n v="979.67"/>
    <s v="Alluvial"/>
    <n v="30.04"/>
  </r>
  <r>
    <s v="CID356"/>
    <d v="2010-05-23T00:00:00"/>
    <x v="0"/>
    <x v="6"/>
    <x v="0"/>
    <s v="Hisar"/>
    <x v="0"/>
    <x v="2"/>
    <n v="7.79"/>
    <n v="12"/>
    <n v="1541"/>
    <s v="Low"/>
    <x v="2"/>
    <s v="NPK"/>
    <n v="231.53"/>
    <n v="759.11"/>
    <s v="Sandy"/>
    <n v="25.22"/>
  </r>
  <r>
    <s v="CID357"/>
    <d v="2013-11-30T00:00:00"/>
    <x v="1"/>
    <x v="6"/>
    <x v="0"/>
    <s v="Hisar"/>
    <x v="2"/>
    <x v="3"/>
    <n v="57.92"/>
    <n v="148.66"/>
    <n v="2566.65"/>
    <s v="Low"/>
    <x v="1"/>
    <s v="Vermicompost"/>
    <n v="176.56"/>
    <n v="758.63"/>
    <s v="Sandy"/>
    <n v="24.41"/>
  </r>
  <r>
    <s v="CID358"/>
    <d v="2022-05-28T00:00:00"/>
    <x v="7"/>
    <x v="2"/>
    <x v="1"/>
    <s v="Mumbai"/>
    <x v="0"/>
    <x v="0"/>
    <n v="69.72"/>
    <n v="473.84"/>
    <n v="6796.33"/>
    <s v="High"/>
    <x v="1"/>
    <s v="Vermicompost"/>
    <n v="242.49"/>
    <n v="957.47"/>
    <s v="Laterite"/>
    <n v="30.22"/>
  </r>
  <r>
    <s v="CID359"/>
    <d v="2017-08-30T00:00:00"/>
    <x v="6"/>
    <x v="4"/>
    <x v="3"/>
    <s v="Kolkata"/>
    <x v="1"/>
    <x v="0"/>
    <n v="7.69"/>
    <n v="36.93"/>
    <n v="4801.97"/>
    <s v="Medium"/>
    <x v="3"/>
    <s v="Vermicompost"/>
    <n v="219.23"/>
    <n v="429.93"/>
    <s v="Alluvial"/>
    <n v="26.19"/>
  </r>
  <r>
    <s v="CID360"/>
    <d v="2021-12-26T00:00:00"/>
    <x v="8"/>
    <x v="5"/>
    <x v="3"/>
    <s v="Patna"/>
    <x v="2"/>
    <x v="4"/>
    <n v="29.44"/>
    <n v="99.91"/>
    <n v="3393.58"/>
    <s v="Medium"/>
    <x v="2"/>
    <s v="Vermicompost"/>
    <n v="69.010000000000005"/>
    <n v="1131.4000000000001"/>
    <s v="Laterite"/>
    <n v="24.71"/>
  </r>
  <r>
    <s v="CID361"/>
    <d v="2021-05-24T00:00:00"/>
    <x v="8"/>
    <x v="2"/>
    <x v="1"/>
    <s v="Nagpur"/>
    <x v="0"/>
    <x v="4"/>
    <n v="50.4"/>
    <n v="110.78"/>
    <n v="2198"/>
    <s v="Low"/>
    <x v="3"/>
    <s v="Vermicompost"/>
    <n v="268.19"/>
    <n v="406.78"/>
    <s v="Red"/>
    <n v="32.520000000000003"/>
  </r>
  <r>
    <s v="CID362"/>
    <d v="2022-10-02T00:00:00"/>
    <x v="7"/>
    <x v="2"/>
    <x v="1"/>
    <s v="Nagpur"/>
    <x v="1"/>
    <x v="5"/>
    <n v="92.1"/>
    <n v="465.55"/>
    <n v="5054.87"/>
    <s v="High"/>
    <x v="1"/>
    <s v="NPK"/>
    <n v="203.46"/>
    <n v="964.24"/>
    <s v="Sandy"/>
    <n v="34.369999999999997"/>
  </r>
  <r>
    <s v="CID363"/>
    <d v="2017-05-22T00:00:00"/>
    <x v="6"/>
    <x v="5"/>
    <x v="3"/>
    <s v="Gaya"/>
    <x v="0"/>
    <x v="0"/>
    <n v="49.59"/>
    <n v="342.49"/>
    <n v="6906.37"/>
    <s v="High"/>
    <x v="2"/>
    <s v="Compost"/>
    <n v="149.47"/>
    <n v="950.17"/>
    <s v="Red"/>
    <n v="20.81"/>
  </r>
  <r>
    <s v="CID364"/>
    <d v="2010-05-15T00:00:00"/>
    <x v="0"/>
    <x v="3"/>
    <x v="2"/>
    <s v="Hubli"/>
    <x v="0"/>
    <x v="0"/>
    <n v="39.979999999999997"/>
    <n v="204.62"/>
    <n v="5118.03"/>
    <s v="High"/>
    <x v="3"/>
    <s v="Urea"/>
    <n v="164.3"/>
    <n v="320.37"/>
    <s v="Sandy"/>
    <n v="26.9"/>
  </r>
  <r>
    <s v="CID365"/>
    <d v="2014-01-27T00:00:00"/>
    <x v="1"/>
    <x v="1"/>
    <x v="0"/>
    <s v="Patiala"/>
    <x v="2"/>
    <x v="1"/>
    <n v="10.97"/>
    <n v="34.770000000000003"/>
    <n v="3169.61"/>
    <s v="Medium"/>
    <x v="2"/>
    <s v="NPK"/>
    <n v="96.79"/>
    <n v="462.85"/>
    <s v="Alluvial"/>
    <n v="27.07"/>
  </r>
  <r>
    <s v="CID366"/>
    <d v="2016-07-29T00:00:00"/>
    <x v="4"/>
    <x v="6"/>
    <x v="0"/>
    <s v="Faridabad"/>
    <x v="1"/>
    <x v="3"/>
    <n v="70.37"/>
    <n v="227.57"/>
    <n v="3233.86"/>
    <s v="Medium"/>
    <x v="1"/>
    <s v="Urea"/>
    <n v="119.91"/>
    <n v="379.89"/>
    <s v="Red"/>
    <n v="34.69"/>
  </r>
  <r>
    <s v="CID367"/>
    <d v="2022-07-16T00:00:00"/>
    <x v="7"/>
    <x v="0"/>
    <x v="0"/>
    <s v="Kanpur"/>
    <x v="1"/>
    <x v="1"/>
    <n v="43.79"/>
    <n v="143.86000000000001"/>
    <n v="3285.3"/>
    <s v="Medium"/>
    <x v="3"/>
    <s v="Compost"/>
    <n v="250.01"/>
    <n v="938.54"/>
    <s v="Laterite"/>
    <n v="32.090000000000003"/>
  </r>
  <r>
    <s v="CID368"/>
    <d v="2020-05-15T00:00:00"/>
    <x v="11"/>
    <x v="3"/>
    <x v="2"/>
    <s v="Bangalore"/>
    <x v="0"/>
    <x v="1"/>
    <n v="72.34"/>
    <n v="413.21"/>
    <n v="5712"/>
    <s v="High"/>
    <x v="2"/>
    <s v="DAP"/>
    <n v="112.74"/>
    <n v="1058.5"/>
    <s v="Black"/>
    <n v="25.98"/>
  </r>
  <r>
    <s v="CID369"/>
    <d v="2015-02-14T00:00:00"/>
    <x v="9"/>
    <x v="1"/>
    <x v="0"/>
    <s v="Ludhiana"/>
    <x v="2"/>
    <x v="2"/>
    <n v="10.53"/>
    <n v="57.57"/>
    <n v="5467.56"/>
    <s v="High"/>
    <x v="2"/>
    <s v="Urea"/>
    <n v="140.24"/>
    <n v="760.35"/>
    <s v="Alluvial"/>
    <n v="25.16"/>
  </r>
  <r>
    <s v="CID370"/>
    <d v="2019-10-03T00:00:00"/>
    <x v="12"/>
    <x v="2"/>
    <x v="1"/>
    <s v="Mumbai"/>
    <x v="1"/>
    <x v="1"/>
    <n v="58.01"/>
    <n v="283.95"/>
    <n v="4894.79"/>
    <s v="Medium"/>
    <x v="3"/>
    <s v="Compost"/>
    <n v="294.83999999999997"/>
    <n v="484.61"/>
    <s v="Alluvial"/>
    <n v="30.1"/>
  </r>
  <r>
    <s v="CID371"/>
    <d v="2020-03-26T00:00:00"/>
    <x v="12"/>
    <x v="1"/>
    <x v="0"/>
    <s v="Amritsar"/>
    <x v="2"/>
    <x v="3"/>
    <n v="63.54"/>
    <n v="118.76"/>
    <n v="1869.09"/>
    <s v="Low"/>
    <x v="3"/>
    <s v="Compost"/>
    <n v="210.15"/>
    <n v="1128.57"/>
    <s v="Laterite"/>
    <n v="29.47"/>
  </r>
  <r>
    <s v="CID372"/>
    <d v="2011-09-22T00:00:00"/>
    <x v="5"/>
    <x v="4"/>
    <x v="3"/>
    <s v="Kolkata"/>
    <x v="1"/>
    <x v="0"/>
    <n v="23.59"/>
    <n v="68.44"/>
    <n v="2901.27"/>
    <s v="Low"/>
    <x v="2"/>
    <s v="NPK"/>
    <n v="227.61"/>
    <n v="805.38"/>
    <s v="Laterite"/>
    <n v="24.07"/>
  </r>
  <r>
    <s v="CID373"/>
    <d v="2019-02-10T00:00:00"/>
    <x v="3"/>
    <x v="0"/>
    <x v="0"/>
    <s v="Varanasi"/>
    <x v="2"/>
    <x v="3"/>
    <n v="17.559999999999999"/>
    <n v="107.56"/>
    <n v="6125.27"/>
    <s v="High"/>
    <x v="3"/>
    <s v="Urea"/>
    <n v="231.94"/>
    <n v="862.02"/>
    <s v="Black"/>
    <n v="23.16"/>
  </r>
  <r>
    <s v="CID374"/>
    <d v="2017-05-27T00:00:00"/>
    <x v="6"/>
    <x v="1"/>
    <x v="0"/>
    <s v="Ludhiana"/>
    <x v="0"/>
    <x v="5"/>
    <n v="3.61"/>
    <n v="12.21"/>
    <n v="3382.08"/>
    <s v="Medium"/>
    <x v="0"/>
    <s v="Compost"/>
    <n v="75.98"/>
    <n v="818.1"/>
    <s v="Black"/>
    <n v="29.82"/>
  </r>
  <r>
    <s v="CID375"/>
    <d v="2013-04-30T00:00:00"/>
    <x v="1"/>
    <x v="2"/>
    <x v="1"/>
    <s v="Nagpur"/>
    <x v="0"/>
    <x v="0"/>
    <n v="44.87"/>
    <n v="78.900000000000006"/>
    <n v="1758.47"/>
    <s v="Low"/>
    <x v="3"/>
    <s v="Vermicompost"/>
    <n v="57.14"/>
    <n v="863.55"/>
    <s v="Alluvial"/>
    <n v="32.96"/>
  </r>
  <r>
    <s v="CID376"/>
    <d v="2017-10-15T00:00:00"/>
    <x v="6"/>
    <x v="2"/>
    <x v="1"/>
    <s v="Mumbai"/>
    <x v="1"/>
    <x v="2"/>
    <n v="54.39"/>
    <n v="247.2"/>
    <n v="4544.99"/>
    <s v="Medium"/>
    <x v="1"/>
    <s v="NPK"/>
    <n v="207.76"/>
    <n v="835.85"/>
    <s v="Sandy"/>
    <n v="26.52"/>
  </r>
  <r>
    <s v="CID377"/>
    <d v="2018-07-05T00:00:00"/>
    <x v="3"/>
    <x v="2"/>
    <x v="1"/>
    <s v="Pune"/>
    <x v="1"/>
    <x v="5"/>
    <n v="44.74"/>
    <n v="142.93"/>
    <n v="3194.7"/>
    <s v="Medium"/>
    <x v="2"/>
    <s v="NPK"/>
    <n v="88.93"/>
    <n v="210.56"/>
    <s v="Sandy"/>
    <n v="32.229999999999997"/>
  </r>
  <r>
    <s v="CID378"/>
    <d v="2018-06-02T00:00:00"/>
    <x v="3"/>
    <x v="2"/>
    <x v="1"/>
    <s v="Pune"/>
    <x v="1"/>
    <x v="2"/>
    <n v="92.29"/>
    <n v="616.66"/>
    <n v="6681.75"/>
    <s v="High"/>
    <x v="1"/>
    <s v="Vermicompost"/>
    <n v="124.9"/>
    <n v="965.87"/>
    <s v="Alluvial"/>
    <n v="28.96"/>
  </r>
  <r>
    <s v="CID379"/>
    <d v="2016-04-16T00:00:00"/>
    <x v="4"/>
    <x v="2"/>
    <x v="1"/>
    <s v="Nagpur"/>
    <x v="0"/>
    <x v="3"/>
    <n v="40.08"/>
    <n v="79.34"/>
    <n v="1979.62"/>
    <s v="Low"/>
    <x v="1"/>
    <s v="Vermicompost"/>
    <n v="257.11"/>
    <n v="420.59"/>
    <s v="Black"/>
    <n v="26.33"/>
  </r>
  <r>
    <s v="CID380"/>
    <d v="2022-04-08T00:00:00"/>
    <x v="7"/>
    <x v="4"/>
    <x v="3"/>
    <s v="Darjeeling"/>
    <x v="0"/>
    <x v="2"/>
    <n v="27.91"/>
    <n v="136.5"/>
    <n v="4890.74"/>
    <s v="Medium"/>
    <x v="2"/>
    <s v="Compost"/>
    <n v="153.22999999999999"/>
    <n v="1053.48"/>
    <s v="Red"/>
    <n v="22.05"/>
  </r>
  <r>
    <s v="CID381"/>
    <d v="2014-04-19T00:00:00"/>
    <x v="9"/>
    <x v="5"/>
    <x v="3"/>
    <s v="Gaya"/>
    <x v="0"/>
    <x v="1"/>
    <n v="49.71"/>
    <n v="145.35"/>
    <n v="2923.86"/>
    <s v="Low"/>
    <x v="3"/>
    <s v="NPK"/>
    <n v="62.41"/>
    <n v="734.97"/>
    <s v="Red"/>
    <n v="34.58"/>
  </r>
  <r>
    <s v="CID382"/>
    <d v="2017-04-30T00:00:00"/>
    <x v="6"/>
    <x v="6"/>
    <x v="0"/>
    <s v="Hisar"/>
    <x v="0"/>
    <x v="5"/>
    <n v="24.05"/>
    <n v="45.79"/>
    <n v="1904.1"/>
    <s v="Low"/>
    <x v="1"/>
    <s v="Urea"/>
    <n v="104.3"/>
    <n v="620.24"/>
    <s v="Laterite"/>
    <n v="34.97"/>
  </r>
  <r>
    <s v="CID383"/>
    <d v="2022-06-04T00:00:00"/>
    <x v="7"/>
    <x v="2"/>
    <x v="1"/>
    <s v="Nagpur"/>
    <x v="1"/>
    <x v="5"/>
    <n v="27.38"/>
    <n v="91.85"/>
    <n v="3354.53"/>
    <s v="Medium"/>
    <x v="1"/>
    <s v="Urea"/>
    <n v="95.4"/>
    <n v="1095.7"/>
    <s v="Alluvial"/>
    <n v="32.26"/>
  </r>
  <r>
    <s v="CID384"/>
    <d v="2013-12-24T00:00:00"/>
    <x v="1"/>
    <x v="4"/>
    <x v="3"/>
    <s v="Darjeeling"/>
    <x v="2"/>
    <x v="3"/>
    <n v="25.47"/>
    <n v="177.45"/>
    <n v="6967.21"/>
    <s v="High"/>
    <x v="3"/>
    <s v="Compost"/>
    <n v="165.21"/>
    <n v="971"/>
    <s v="Sandy"/>
    <n v="29.99"/>
  </r>
  <r>
    <s v="CID385"/>
    <d v="2014-11-14T00:00:00"/>
    <x v="9"/>
    <x v="3"/>
    <x v="2"/>
    <s v="Hubli"/>
    <x v="2"/>
    <x v="4"/>
    <n v="63.29"/>
    <n v="79.31"/>
    <n v="1253.1199999999999"/>
    <s v="Low"/>
    <x v="0"/>
    <s v="DAP"/>
    <n v="113.33"/>
    <n v="838.52"/>
    <s v="Red"/>
    <n v="25.41"/>
  </r>
  <r>
    <s v="CID386"/>
    <d v="2021-03-02T00:00:00"/>
    <x v="11"/>
    <x v="1"/>
    <x v="0"/>
    <s v="Ludhiana"/>
    <x v="2"/>
    <x v="0"/>
    <n v="2.4900000000000002"/>
    <n v="14.36"/>
    <n v="5766.34"/>
    <s v="High"/>
    <x v="0"/>
    <s v="Vermicompost"/>
    <n v="148.94999999999999"/>
    <n v="443.09"/>
    <s v="Black"/>
    <n v="28.72"/>
  </r>
  <r>
    <s v="CID387"/>
    <d v="2022-07-10T00:00:00"/>
    <x v="7"/>
    <x v="6"/>
    <x v="0"/>
    <s v="Faridabad"/>
    <x v="1"/>
    <x v="4"/>
    <n v="16.61"/>
    <n v="25.72"/>
    <n v="1548.41"/>
    <s v="Low"/>
    <x v="2"/>
    <s v="Vermicompost"/>
    <n v="282.70999999999998"/>
    <n v="1196.97"/>
    <s v="Black"/>
    <n v="20.9"/>
  </r>
  <r>
    <s v="CID388"/>
    <d v="2013-02-05T00:00:00"/>
    <x v="2"/>
    <x v="4"/>
    <x v="3"/>
    <s v="Kolkata"/>
    <x v="2"/>
    <x v="4"/>
    <n v="32.36"/>
    <n v="140.77000000000001"/>
    <n v="4350.1000000000004"/>
    <s v="Medium"/>
    <x v="2"/>
    <s v="NPK"/>
    <n v="251.38"/>
    <n v="638.72"/>
    <s v="Red"/>
    <n v="20.32"/>
  </r>
  <r>
    <s v="CID389"/>
    <d v="2014-09-28T00:00:00"/>
    <x v="9"/>
    <x v="0"/>
    <x v="0"/>
    <s v="Lucknow"/>
    <x v="1"/>
    <x v="3"/>
    <n v="70.959999999999994"/>
    <n v="308.97000000000003"/>
    <n v="4354.1499999999996"/>
    <s v="Medium"/>
    <x v="1"/>
    <s v="NPK"/>
    <n v="97.44"/>
    <n v="386.63"/>
    <s v="Alluvial"/>
    <n v="24.86"/>
  </r>
  <r>
    <s v="CID390"/>
    <d v="2018-07-18T00:00:00"/>
    <x v="3"/>
    <x v="4"/>
    <x v="3"/>
    <s v="Darjeeling"/>
    <x v="1"/>
    <x v="5"/>
    <n v="53.58"/>
    <n v="198.05"/>
    <n v="3696.31"/>
    <s v="Medium"/>
    <x v="2"/>
    <s v="Urea"/>
    <n v="185.4"/>
    <n v="654.08000000000004"/>
    <s v="Sandy"/>
    <n v="25.69"/>
  </r>
  <r>
    <s v="CID391"/>
    <d v="2022-04-19T00:00:00"/>
    <x v="7"/>
    <x v="5"/>
    <x v="3"/>
    <s v="Gaya"/>
    <x v="0"/>
    <x v="4"/>
    <n v="32.75"/>
    <n v="45.2"/>
    <n v="1380.05"/>
    <s v="Low"/>
    <x v="1"/>
    <s v="NPK"/>
    <n v="97.47"/>
    <n v="883.22"/>
    <s v="Sandy"/>
    <n v="22.31"/>
  </r>
  <r>
    <s v="CID392"/>
    <d v="2015-06-26T00:00:00"/>
    <x v="10"/>
    <x v="3"/>
    <x v="2"/>
    <s v="Hubli"/>
    <x v="1"/>
    <x v="5"/>
    <n v="52.8"/>
    <n v="73.92"/>
    <n v="1400.08"/>
    <s v="Low"/>
    <x v="3"/>
    <s v="Urea"/>
    <n v="94.66"/>
    <n v="231.27"/>
    <s v="Black"/>
    <n v="27.28"/>
  </r>
  <r>
    <s v="CID393"/>
    <d v="2016-05-29T00:00:00"/>
    <x v="4"/>
    <x v="5"/>
    <x v="3"/>
    <s v="Bhagalpur"/>
    <x v="0"/>
    <x v="3"/>
    <n v="53.06"/>
    <n v="276.33"/>
    <n v="5207.88"/>
    <s v="High"/>
    <x v="2"/>
    <s v="DAP"/>
    <n v="62.27"/>
    <n v="420.72"/>
    <s v="Black"/>
    <n v="20.2"/>
  </r>
  <r>
    <s v="CID394"/>
    <d v="2012-01-08T00:00:00"/>
    <x v="5"/>
    <x v="0"/>
    <x v="0"/>
    <s v="Kanpur"/>
    <x v="2"/>
    <x v="2"/>
    <n v="7.01"/>
    <n v="30.48"/>
    <n v="4348.12"/>
    <s v="Medium"/>
    <x v="1"/>
    <s v="Vermicompost"/>
    <n v="255.51"/>
    <n v="994.25"/>
    <s v="Black"/>
    <n v="32.35"/>
  </r>
  <r>
    <s v="CID395"/>
    <d v="2012-03-14T00:00:00"/>
    <x v="5"/>
    <x v="1"/>
    <x v="0"/>
    <s v="Patiala"/>
    <x v="2"/>
    <x v="5"/>
    <n v="94.52"/>
    <n v="639.29"/>
    <n v="6763.52"/>
    <s v="High"/>
    <x v="0"/>
    <s v="DAP"/>
    <n v="75.31"/>
    <n v="431.02"/>
    <s v="Laterite"/>
    <n v="22.84"/>
  </r>
  <r>
    <s v="CID396"/>
    <d v="2012-04-11T00:00:00"/>
    <x v="2"/>
    <x v="5"/>
    <x v="3"/>
    <s v="Bhagalpur"/>
    <x v="0"/>
    <x v="2"/>
    <n v="56.26"/>
    <n v="308.12"/>
    <n v="5476.65"/>
    <s v="High"/>
    <x v="2"/>
    <s v="DAP"/>
    <n v="218.62"/>
    <n v="902.55"/>
    <s v="Laterite"/>
    <n v="33.24"/>
  </r>
  <r>
    <s v="CID397"/>
    <d v="2019-01-23T00:00:00"/>
    <x v="3"/>
    <x v="5"/>
    <x v="3"/>
    <s v="Gaya"/>
    <x v="2"/>
    <x v="2"/>
    <n v="16.66"/>
    <n v="116.46"/>
    <n v="6990.6"/>
    <s v="High"/>
    <x v="1"/>
    <s v="NPK"/>
    <n v="283.38"/>
    <n v="1102.48"/>
    <s v="Sandy"/>
    <n v="34.869999999999997"/>
  </r>
  <r>
    <s v="CID398"/>
    <d v="2016-04-29T00:00:00"/>
    <x v="4"/>
    <x v="3"/>
    <x v="2"/>
    <s v="Hubli"/>
    <x v="0"/>
    <x v="0"/>
    <n v="61.23"/>
    <n v="268.12"/>
    <n v="4378.87"/>
    <s v="Medium"/>
    <x v="3"/>
    <s v="Compost"/>
    <n v="143.77000000000001"/>
    <n v="750.24"/>
    <s v="Alluvial"/>
    <n v="25.4"/>
  </r>
  <r>
    <s v="CID399"/>
    <d v="2021-06-06T00:00:00"/>
    <x v="8"/>
    <x v="3"/>
    <x v="2"/>
    <s v="Bangalore"/>
    <x v="1"/>
    <x v="0"/>
    <n v="59.98"/>
    <n v="246.26"/>
    <n v="4105.66"/>
    <s v="Medium"/>
    <x v="2"/>
    <s v="NPK"/>
    <n v="51.64"/>
    <n v="1184.3900000000001"/>
    <s v="Red"/>
    <n v="32.840000000000003"/>
  </r>
  <r>
    <s v="CID400"/>
    <d v="2018-04-17T00:00:00"/>
    <x v="3"/>
    <x v="5"/>
    <x v="3"/>
    <s v="Bhagalpur"/>
    <x v="0"/>
    <x v="1"/>
    <n v="16.32"/>
    <n v="20.02"/>
    <n v="1226.42"/>
    <s v="Low"/>
    <x v="2"/>
    <s v="NPK"/>
    <n v="89.03"/>
    <n v="464.99"/>
    <s v="Sandy"/>
    <n v="23.75"/>
  </r>
  <r>
    <s v="CID401"/>
    <d v="2016-04-07T00:00:00"/>
    <x v="4"/>
    <x v="1"/>
    <x v="0"/>
    <s v="Patiala"/>
    <x v="0"/>
    <x v="4"/>
    <n v="73.69"/>
    <n v="393.61"/>
    <n v="5341.48"/>
    <s v="High"/>
    <x v="1"/>
    <s v="Vermicompost"/>
    <n v="93.23"/>
    <n v="1025.71"/>
    <s v="Sandy"/>
    <n v="32.29"/>
  </r>
  <r>
    <s v="CID402"/>
    <d v="2010-04-08T00:00:00"/>
    <x v="0"/>
    <x v="0"/>
    <x v="0"/>
    <s v="Kanpur"/>
    <x v="0"/>
    <x v="1"/>
    <n v="38.770000000000003"/>
    <n v="220.24"/>
    <n v="5680.73"/>
    <s v="High"/>
    <x v="2"/>
    <s v="DAP"/>
    <n v="136.97999999999999"/>
    <n v="1017.14"/>
    <s v="Laterite"/>
    <n v="33.950000000000003"/>
  </r>
  <r>
    <s v="CID403"/>
    <d v="2019-10-07T00:00:00"/>
    <x v="12"/>
    <x v="0"/>
    <x v="0"/>
    <s v="Varanasi"/>
    <x v="1"/>
    <x v="2"/>
    <n v="77.959999999999994"/>
    <n v="256.87"/>
    <n v="3294.92"/>
    <s v="Medium"/>
    <x v="2"/>
    <s v="DAP"/>
    <n v="181.1"/>
    <n v="519.32000000000005"/>
    <s v="Sandy"/>
    <n v="22.24"/>
  </r>
  <r>
    <s v="CID404"/>
    <d v="2020-04-22T00:00:00"/>
    <x v="11"/>
    <x v="6"/>
    <x v="0"/>
    <s v="Gurgaon"/>
    <x v="0"/>
    <x v="3"/>
    <n v="97.13"/>
    <n v="535.87"/>
    <n v="5517.04"/>
    <s v="High"/>
    <x v="0"/>
    <s v="Urea"/>
    <n v="105.52"/>
    <n v="489.78"/>
    <s v="Laterite"/>
    <n v="22.22"/>
  </r>
  <r>
    <s v="CID405"/>
    <d v="2021-07-21T00:00:00"/>
    <x v="8"/>
    <x v="3"/>
    <x v="2"/>
    <s v="Hubli"/>
    <x v="1"/>
    <x v="1"/>
    <n v="40.520000000000003"/>
    <n v="61.2"/>
    <n v="1510.47"/>
    <s v="Low"/>
    <x v="1"/>
    <s v="Compost"/>
    <n v="243.46"/>
    <n v="330.38"/>
    <s v="Red"/>
    <n v="27.21"/>
  </r>
  <r>
    <s v="CID406"/>
    <d v="2019-10-26T00:00:00"/>
    <x v="12"/>
    <x v="3"/>
    <x v="2"/>
    <s v="Hubli"/>
    <x v="1"/>
    <x v="1"/>
    <n v="61.98"/>
    <n v="335.56"/>
    <n v="5414.01"/>
    <s v="High"/>
    <x v="3"/>
    <s v="Urea"/>
    <n v="110.58"/>
    <n v="466.26"/>
    <s v="Laterite"/>
    <n v="24.85"/>
  </r>
  <r>
    <s v="CID407"/>
    <d v="2017-02-22T00:00:00"/>
    <x v="4"/>
    <x v="1"/>
    <x v="0"/>
    <s v="Patiala"/>
    <x v="2"/>
    <x v="0"/>
    <n v="35.479999999999997"/>
    <n v="103.76"/>
    <n v="2924.43"/>
    <s v="Low"/>
    <x v="0"/>
    <s v="Vermicompost"/>
    <n v="242.42"/>
    <n v="369.26"/>
    <s v="Alluvial"/>
    <n v="29.24"/>
  </r>
  <r>
    <s v="CID408"/>
    <d v="2010-08-13T00:00:00"/>
    <x v="0"/>
    <x v="6"/>
    <x v="0"/>
    <s v="Faridabad"/>
    <x v="1"/>
    <x v="4"/>
    <n v="68.849999999999994"/>
    <n v="133.29"/>
    <n v="1935.95"/>
    <s v="Low"/>
    <x v="0"/>
    <s v="Urea"/>
    <n v="78.09"/>
    <n v="254.54"/>
    <s v="Sandy"/>
    <n v="33.9"/>
  </r>
  <r>
    <s v="CID409"/>
    <d v="2022-08-06T00:00:00"/>
    <x v="7"/>
    <x v="2"/>
    <x v="1"/>
    <s v="Mumbai"/>
    <x v="1"/>
    <x v="0"/>
    <n v="45.56"/>
    <n v="51.78"/>
    <n v="1136.49"/>
    <s v="Low"/>
    <x v="3"/>
    <s v="Vermicompost"/>
    <n v="235"/>
    <n v="411.88"/>
    <s v="Sandy"/>
    <n v="27.85"/>
  </r>
  <r>
    <s v="CID410"/>
    <d v="2021-08-09T00:00:00"/>
    <x v="8"/>
    <x v="3"/>
    <x v="2"/>
    <s v="Hubli"/>
    <x v="1"/>
    <x v="2"/>
    <n v="70.180000000000007"/>
    <n v="77.92"/>
    <n v="1110.33"/>
    <s v="Low"/>
    <x v="0"/>
    <s v="Urea"/>
    <n v="113.86"/>
    <n v="260.11"/>
    <s v="Red"/>
    <n v="31.84"/>
  </r>
  <r>
    <s v="CID411"/>
    <d v="2010-09-06T00:00:00"/>
    <x v="0"/>
    <x v="3"/>
    <x v="2"/>
    <s v="Hubli"/>
    <x v="1"/>
    <x v="3"/>
    <n v="66.38"/>
    <n v="330.43"/>
    <n v="4977.8900000000003"/>
    <s v="Medium"/>
    <x v="2"/>
    <s v="Vermicompost"/>
    <n v="266.07"/>
    <n v="219.08"/>
    <s v="Laterite"/>
    <n v="23.47"/>
  </r>
  <r>
    <s v="CID412"/>
    <d v="2016-03-15T00:00:00"/>
    <x v="10"/>
    <x v="0"/>
    <x v="0"/>
    <s v="Lucknow"/>
    <x v="2"/>
    <x v="1"/>
    <n v="53.62"/>
    <n v="113.59"/>
    <n v="2118.5"/>
    <s v="Low"/>
    <x v="1"/>
    <s v="NPK"/>
    <n v="190.17"/>
    <n v="912.47"/>
    <s v="Black"/>
    <n v="23.71"/>
  </r>
  <r>
    <s v="CID413"/>
    <d v="2016-04-04T00:00:00"/>
    <x v="4"/>
    <x v="2"/>
    <x v="1"/>
    <s v="Pune"/>
    <x v="0"/>
    <x v="4"/>
    <n v="2.82"/>
    <n v="14.4"/>
    <n v="5105.87"/>
    <s v="High"/>
    <x v="2"/>
    <s v="NPK"/>
    <n v="206.31"/>
    <n v="436.2"/>
    <s v="Sandy"/>
    <n v="24.14"/>
  </r>
  <r>
    <s v="CID414"/>
    <d v="2018-12-29T00:00:00"/>
    <x v="3"/>
    <x v="3"/>
    <x v="2"/>
    <s v="Bangalore"/>
    <x v="2"/>
    <x v="4"/>
    <n v="16.02"/>
    <n v="102.26"/>
    <n v="6383.05"/>
    <s v="High"/>
    <x v="3"/>
    <s v="Compost"/>
    <n v="71.95"/>
    <n v="582.21"/>
    <s v="Sandy"/>
    <n v="33.090000000000003"/>
  </r>
  <r>
    <s v="CID415"/>
    <d v="2012-12-22T00:00:00"/>
    <x v="2"/>
    <x v="6"/>
    <x v="0"/>
    <s v="Hisar"/>
    <x v="2"/>
    <x v="0"/>
    <n v="91.06"/>
    <n v="270.97000000000003"/>
    <n v="2975.71"/>
    <s v="Low"/>
    <x v="3"/>
    <s v="DAP"/>
    <n v="101.69"/>
    <n v="338.58"/>
    <s v="Sandy"/>
    <n v="30.26"/>
  </r>
  <r>
    <s v="CID416"/>
    <d v="2021-05-06T00:00:00"/>
    <x v="8"/>
    <x v="2"/>
    <x v="1"/>
    <s v="Mumbai"/>
    <x v="0"/>
    <x v="4"/>
    <n v="43.58"/>
    <n v="281.27"/>
    <n v="6454.01"/>
    <s v="High"/>
    <x v="3"/>
    <s v="Vermicompost"/>
    <n v="214.06"/>
    <n v="764.84"/>
    <s v="Red"/>
    <n v="24.76"/>
  </r>
  <r>
    <s v="CID417"/>
    <d v="2012-12-19T00:00:00"/>
    <x v="2"/>
    <x v="0"/>
    <x v="0"/>
    <s v="Lucknow"/>
    <x v="2"/>
    <x v="4"/>
    <n v="72.98"/>
    <n v="408.15"/>
    <n v="5592.61"/>
    <s v="High"/>
    <x v="1"/>
    <s v="Urea"/>
    <n v="290.3"/>
    <n v="503.35"/>
    <s v="Alluvial"/>
    <n v="22.28"/>
  </r>
  <r>
    <s v="CID418"/>
    <d v="2010-05-15T00:00:00"/>
    <x v="0"/>
    <x v="6"/>
    <x v="0"/>
    <s v="Gurgaon"/>
    <x v="0"/>
    <x v="1"/>
    <n v="27.42"/>
    <n v="120.71"/>
    <n v="4402.26"/>
    <s v="Medium"/>
    <x v="3"/>
    <s v="Compost"/>
    <n v="199.09"/>
    <n v="430.91"/>
    <s v="Black"/>
    <n v="25.39"/>
  </r>
  <r>
    <s v="CID419"/>
    <d v="2020-02-13T00:00:00"/>
    <x v="12"/>
    <x v="6"/>
    <x v="0"/>
    <s v="Hisar"/>
    <x v="2"/>
    <x v="2"/>
    <n v="65.31"/>
    <n v="137.4"/>
    <n v="2103.86"/>
    <s v="Low"/>
    <x v="1"/>
    <s v="Urea"/>
    <n v="172.86"/>
    <n v="337.51"/>
    <s v="Red"/>
    <n v="23.39"/>
  </r>
  <r>
    <s v="CID420"/>
    <d v="2013-05-02T00:00:00"/>
    <x v="1"/>
    <x v="2"/>
    <x v="1"/>
    <s v="Pune"/>
    <x v="0"/>
    <x v="2"/>
    <n v="98.84"/>
    <n v="548.23"/>
    <n v="5546.66"/>
    <s v="High"/>
    <x v="0"/>
    <s v="NPK"/>
    <n v="94.27"/>
    <n v="1154.7"/>
    <s v="Laterite"/>
    <n v="33.01"/>
  </r>
  <r>
    <s v="CID421"/>
    <d v="2014-03-15T00:00:00"/>
    <x v="1"/>
    <x v="4"/>
    <x v="3"/>
    <s v="Howrah"/>
    <x v="2"/>
    <x v="3"/>
    <n v="77.849999999999994"/>
    <n v="361.81"/>
    <n v="4647.58"/>
    <s v="Medium"/>
    <x v="1"/>
    <s v="Urea"/>
    <n v="230.05"/>
    <n v="594.15"/>
    <s v="Sandy"/>
    <n v="28.91"/>
  </r>
  <r>
    <s v="CID422"/>
    <d v="2017-11-13T00:00:00"/>
    <x v="6"/>
    <x v="5"/>
    <x v="3"/>
    <s v="Patna"/>
    <x v="2"/>
    <x v="5"/>
    <n v="87.9"/>
    <n v="217.49"/>
    <n v="2474.33"/>
    <s v="Low"/>
    <x v="1"/>
    <s v="DAP"/>
    <n v="295.95999999999998"/>
    <n v="239.25"/>
    <s v="Laterite"/>
    <n v="27.74"/>
  </r>
  <r>
    <s v="CID423"/>
    <d v="2017-02-24T00:00:00"/>
    <x v="4"/>
    <x v="2"/>
    <x v="1"/>
    <s v="Pune"/>
    <x v="2"/>
    <x v="0"/>
    <n v="46.67"/>
    <n v="164.97"/>
    <n v="3534.77"/>
    <s v="Medium"/>
    <x v="0"/>
    <s v="Urea"/>
    <n v="222.49"/>
    <n v="1103.68"/>
    <s v="Laterite"/>
    <n v="32.450000000000003"/>
  </r>
  <r>
    <s v="CID424"/>
    <d v="2011-10-30T00:00:00"/>
    <x v="5"/>
    <x v="0"/>
    <x v="0"/>
    <s v="Varanasi"/>
    <x v="1"/>
    <x v="1"/>
    <n v="93.85"/>
    <n v="485.83"/>
    <n v="5176.68"/>
    <s v="High"/>
    <x v="3"/>
    <s v="DAP"/>
    <n v="148.27000000000001"/>
    <n v="523.46"/>
    <s v="Black"/>
    <n v="22.68"/>
  </r>
  <r>
    <s v="CID425"/>
    <d v="2015-02-01T00:00:00"/>
    <x v="9"/>
    <x v="3"/>
    <x v="2"/>
    <s v="Bangalore"/>
    <x v="2"/>
    <x v="2"/>
    <n v="65.209999999999994"/>
    <n v="343.58"/>
    <n v="5268.82"/>
    <s v="High"/>
    <x v="3"/>
    <s v="Urea"/>
    <n v="229.59"/>
    <n v="323.54000000000002"/>
    <s v="Black"/>
    <n v="30.59"/>
  </r>
  <r>
    <s v="CID426"/>
    <d v="2016-05-13T00:00:00"/>
    <x v="4"/>
    <x v="5"/>
    <x v="3"/>
    <s v="Bhagalpur"/>
    <x v="0"/>
    <x v="1"/>
    <n v="61.6"/>
    <n v="120.7"/>
    <n v="1959.4"/>
    <s v="Low"/>
    <x v="1"/>
    <s v="DAP"/>
    <n v="60.98"/>
    <n v="370.88"/>
    <s v="Alluvial"/>
    <n v="28.48"/>
  </r>
  <r>
    <s v="CID427"/>
    <d v="2012-04-01T00:00:00"/>
    <x v="2"/>
    <x v="6"/>
    <x v="0"/>
    <s v="Gurgaon"/>
    <x v="0"/>
    <x v="5"/>
    <n v="42.54"/>
    <n v="121.54"/>
    <n v="2857.11"/>
    <s v="Low"/>
    <x v="1"/>
    <s v="Vermicompost"/>
    <n v="122.2"/>
    <n v="380.7"/>
    <s v="Red"/>
    <n v="34.409999999999997"/>
  </r>
  <r>
    <s v="CID428"/>
    <d v="2011-03-02T00:00:00"/>
    <x v="0"/>
    <x v="4"/>
    <x v="3"/>
    <s v="Howrah"/>
    <x v="2"/>
    <x v="3"/>
    <n v="85.69"/>
    <n v="365.13"/>
    <n v="4261.01"/>
    <s v="Medium"/>
    <x v="0"/>
    <s v="Compost"/>
    <n v="202"/>
    <n v="693.47"/>
    <s v="Red"/>
    <n v="28.83"/>
  </r>
  <r>
    <s v="CID429"/>
    <d v="2011-04-10T00:00:00"/>
    <x v="5"/>
    <x v="3"/>
    <x v="2"/>
    <s v="Mysore"/>
    <x v="0"/>
    <x v="1"/>
    <n v="1.65"/>
    <n v="10.38"/>
    <n v="6293.01"/>
    <s v="High"/>
    <x v="2"/>
    <s v="Urea"/>
    <n v="204.94"/>
    <n v="757.55"/>
    <s v="Red"/>
    <n v="20.73"/>
  </r>
  <r>
    <s v="CID430"/>
    <d v="2010-07-16T00:00:00"/>
    <x v="0"/>
    <x v="0"/>
    <x v="0"/>
    <s v="Kanpur"/>
    <x v="1"/>
    <x v="5"/>
    <n v="67.03"/>
    <n v="404.06"/>
    <n v="6028.09"/>
    <s v="High"/>
    <x v="2"/>
    <s v="DAP"/>
    <n v="132.78"/>
    <n v="287.7"/>
    <s v="Black"/>
    <n v="26.25"/>
  </r>
  <r>
    <s v="CID431"/>
    <d v="2019-04-06T00:00:00"/>
    <x v="12"/>
    <x v="0"/>
    <x v="0"/>
    <s v="Kanpur"/>
    <x v="0"/>
    <x v="2"/>
    <n v="70.28"/>
    <n v="311.60000000000002"/>
    <n v="4433.7"/>
    <s v="Medium"/>
    <x v="3"/>
    <s v="NPK"/>
    <n v="291.57"/>
    <n v="949.33"/>
    <s v="Alluvial"/>
    <n v="33.97"/>
  </r>
  <r>
    <s v="CID432"/>
    <d v="2016-09-14T00:00:00"/>
    <x v="4"/>
    <x v="2"/>
    <x v="1"/>
    <s v="Pune"/>
    <x v="1"/>
    <x v="3"/>
    <n v="84.49"/>
    <n v="117.4"/>
    <n v="1389.56"/>
    <s v="Low"/>
    <x v="1"/>
    <s v="Vermicompost"/>
    <n v="83.64"/>
    <n v="894.62"/>
    <s v="Alluvial"/>
    <n v="24.94"/>
  </r>
  <r>
    <s v="CID433"/>
    <d v="2013-05-25T00:00:00"/>
    <x v="1"/>
    <x v="6"/>
    <x v="0"/>
    <s v="Hisar"/>
    <x v="0"/>
    <x v="5"/>
    <n v="11.82"/>
    <n v="63.57"/>
    <n v="5378.37"/>
    <s v="High"/>
    <x v="0"/>
    <s v="NPK"/>
    <n v="170.92"/>
    <n v="888.65"/>
    <s v="Alluvial"/>
    <n v="26.41"/>
  </r>
  <r>
    <s v="CID434"/>
    <d v="2019-05-27T00:00:00"/>
    <x v="12"/>
    <x v="2"/>
    <x v="1"/>
    <s v="Mumbai"/>
    <x v="0"/>
    <x v="0"/>
    <n v="92.78"/>
    <n v="434.74"/>
    <n v="4685.74"/>
    <s v="Medium"/>
    <x v="1"/>
    <s v="Vermicompost"/>
    <n v="179.93"/>
    <n v="831.86"/>
    <s v="Laterite"/>
    <n v="32.119999999999997"/>
  </r>
  <r>
    <s v="CID435"/>
    <d v="2014-09-14T00:00:00"/>
    <x v="9"/>
    <x v="6"/>
    <x v="0"/>
    <s v="Hisar"/>
    <x v="1"/>
    <x v="5"/>
    <n v="12.7"/>
    <n v="48.12"/>
    <n v="3789.31"/>
    <s v="Medium"/>
    <x v="0"/>
    <s v="Urea"/>
    <n v="234.37"/>
    <n v="407.33"/>
    <s v="Sandy"/>
    <n v="34.979999999999997"/>
  </r>
  <r>
    <s v="CID436"/>
    <d v="2018-04-21T00:00:00"/>
    <x v="3"/>
    <x v="2"/>
    <x v="1"/>
    <s v="Pune"/>
    <x v="0"/>
    <x v="4"/>
    <n v="2.12"/>
    <n v="4.68"/>
    <n v="2207.12"/>
    <s v="Low"/>
    <x v="2"/>
    <s v="Urea"/>
    <n v="113.6"/>
    <n v="267.83999999999997"/>
    <s v="Alluvial"/>
    <n v="27.6"/>
  </r>
  <r>
    <s v="CID437"/>
    <d v="2016-03-02T00:00:00"/>
    <x v="10"/>
    <x v="1"/>
    <x v="0"/>
    <s v="Patiala"/>
    <x v="2"/>
    <x v="3"/>
    <n v="72.72"/>
    <n v="341.49"/>
    <n v="4695.96"/>
    <s v="Medium"/>
    <x v="0"/>
    <s v="Compost"/>
    <n v="258.01"/>
    <n v="394.02"/>
    <s v="Alluvial"/>
    <n v="33.83"/>
  </r>
  <r>
    <s v="CID438"/>
    <d v="2020-08-16T00:00:00"/>
    <x v="11"/>
    <x v="4"/>
    <x v="3"/>
    <s v="Kolkata"/>
    <x v="1"/>
    <x v="3"/>
    <n v="16.38"/>
    <n v="61.65"/>
    <n v="3763.71"/>
    <s v="Medium"/>
    <x v="2"/>
    <s v="Vermicompost"/>
    <n v="165.62"/>
    <n v="1014.17"/>
    <s v="Black"/>
    <n v="32.53"/>
  </r>
  <r>
    <s v="CID439"/>
    <d v="2015-04-10T00:00:00"/>
    <x v="10"/>
    <x v="0"/>
    <x v="0"/>
    <s v="Varanasi"/>
    <x v="0"/>
    <x v="1"/>
    <n v="2.85"/>
    <n v="12.72"/>
    <n v="4464.3900000000003"/>
    <s v="Medium"/>
    <x v="2"/>
    <s v="NPK"/>
    <n v="249.88"/>
    <n v="1088.03"/>
    <s v="Alluvial"/>
    <n v="20.99"/>
  </r>
  <r>
    <s v="CID440"/>
    <d v="2016-01-20T00:00:00"/>
    <x v="10"/>
    <x v="4"/>
    <x v="3"/>
    <s v="Kolkata"/>
    <x v="2"/>
    <x v="2"/>
    <n v="53.89"/>
    <n v="107.55"/>
    <n v="1995.82"/>
    <s v="Low"/>
    <x v="1"/>
    <s v="Urea"/>
    <n v="96.84"/>
    <n v="316.83999999999997"/>
    <s v="Alluvial"/>
    <n v="30.58"/>
  </r>
  <r>
    <s v="CID441"/>
    <d v="2011-11-10T00:00:00"/>
    <x v="5"/>
    <x v="2"/>
    <x v="1"/>
    <s v="Pune"/>
    <x v="2"/>
    <x v="4"/>
    <n v="37.79"/>
    <n v="225.86"/>
    <n v="5976.74"/>
    <s v="High"/>
    <x v="2"/>
    <s v="DAP"/>
    <n v="104.03"/>
    <n v="502.32"/>
    <s v="Black"/>
    <n v="25.61"/>
  </r>
  <r>
    <s v="CID442"/>
    <d v="2018-08-23T00:00:00"/>
    <x v="3"/>
    <x v="1"/>
    <x v="0"/>
    <s v="Amritsar"/>
    <x v="1"/>
    <x v="3"/>
    <n v="90.59"/>
    <n v="174.34"/>
    <n v="1924.47"/>
    <s v="Low"/>
    <x v="2"/>
    <s v="DAP"/>
    <n v="280.91000000000003"/>
    <n v="932.44"/>
    <s v="Sandy"/>
    <n v="24.66"/>
  </r>
  <r>
    <s v="CID443"/>
    <d v="2018-04-03T00:00:00"/>
    <x v="3"/>
    <x v="4"/>
    <x v="3"/>
    <s v="Kolkata"/>
    <x v="0"/>
    <x v="4"/>
    <n v="21.31"/>
    <n v="25.98"/>
    <n v="1219.32"/>
    <s v="Low"/>
    <x v="1"/>
    <s v="Vermicompost"/>
    <n v="228.42"/>
    <n v="722.34"/>
    <s v="Black"/>
    <n v="24.66"/>
  </r>
  <r>
    <s v="CID444"/>
    <d v="2015-12-20T00:00:00"/>
    <x v="10"/>
    <x v="4"/>
    <x v="3"/>
    <s v="Kolkata"/>
    <x v="2"/>
    <x v="5"/>
    <n v="11.21"/>
    <n v="62.74"/>
    <n v="5597.08"/>
    <s v="High"/>
    <x v="2"/>
    <s v="NPK"/>
    <n v="55.62"/>
    <n v="958.49"/>
    <s v="Red"/>
    <n v="24.81"/>
  </r>
  <r>
    <s v="CID445"/>
    <d v="2015-12-23T00:00:00"/>
    <x v="10"/>
    <x v="2"/>
    <x v="1"/>
    <s v="Mumbai"/>
    <x v="2"/>
    <x v="2"/>
    <n v="12.65"/>
    <n v="23.98"/>
    <n v="1895.92"/>
    <s v="Low"/>
    <x v="2"/>
    <s v="Vermicompost"/>
    <n v="78.62"/>
    <n v="1158.3"/>
    <s v="Sandy"/>
    <n v="27.71"/>
  </r>
  <r>
    <s v="CID446"/>
    <d v="2015-11-13T00:00:00"/>
    <x v="10"/>
    <x v="2"/>
    <x v="1"/>
    <s v="Mumbai"/>
    <x v="2"/>
    <x v="4"/>
    <n v="94.38"/>
    <n v="549.66999999999996"/>
    <n v="5824.02"/>
    <s v="High"/>
    <x v="3"/>
    <s v="DAP"/>
    <n v="92.82"/>
    <n v="511.38"/>
    <s v="Alluvial"/>
    <n v="28.11"/>
  </r>
  <r>
    <s v="CID447"/>
    <d v="2020-09-23T00:00:00"/>
    <x v="11"/>
    <x v="1"/>
    <x v="0"/>
    <s v="Amritsar"/>
    <x v="1"/>
    <x v="5"/>
    <n v="38.979999999999997"/>
    <n v="59.12"/>
    <n v="1516.72"/>
    <s v="Low"/>
    <x v="1"/>
    <s v="Vermicompost"/>
    <n v="94.75"/>
    <n v="796.12"/>
    <s v="Sandy"/>
    <n v="29.44"/>
  </r>
  <r>
    <s v="CID448"/>
    <d v="2015-06-24T00:00:00"/>
    <x v="10"/>
    <x v="2"/>
    <x v="1"/>
    <s v="Pune"/>
    <x v="1"/>
    <x v="2"/>
    <n v="76.08"/>
    <n v="445.51"/>
    <n v="5855.8"/>
    <s v="High"/>
    <x v="0"/>
    <s v="Compost"/>
    <n v="293.42"/>
    <n v="955.74"/>
    <s v="Laterite"/>
    <n v="28.52"/>
  </r>
  <r>
    <s v="CID449"/>
    <d v="2014-04-24T00:00:00"/>
    <x v="9"/>
    <x v="1"/>
    <x v="0"/>
    <s v="Amritsar"/>
    <x v="0"/>
    <x v="2"/>
    <n v="71.31"/>
    <n v="270.43"/>
    <n v="3792.38"/>
    <s v="Medium"/>
    <x v="3"/>
    <s v="Compost"/>
    <n v="286.86"/>
    <n v="343.72"/>
    <s v="Sandy"/>
    <n v="23.87"/>
  </r>
  <r>
    <s v="CID450"/>
    <d v="2021-01-29T00:00:00"/>
    <x v="11"/>
    <x v="6"/>
    <x v="0"/>
    <s v="Hisar"/>
    <x v="2"/>
    <x v="0"/>
    <n v="45.88"/>
    <n v="54.21"/>
    <n v="1181.58"/>
    <s v="Low"/>
    <x v="1"/>
    <s v="Vermicompost"/>
    <n v="78.22"/>
    <n v="678.65"/>
    <s v="Red"/>
    <n v="24.23"/>
  </r>
  <r>
    <s v="CID451"/>
    <d v="2018-09-11T00:00:00"/>
    <x v="3"/>
    <x v="5"/>
    <x v="3"/>
    <s v="Patna"/>
    <x v="1"/>
    <x v="3"/>
    <n v="81.94"/>
    <n v="473.66"/>
    <n v="5780.55"/>
    <s v="High"/>
    <x v="2"/>
    <s v="Vermicompost"/>
    <n v="189.04"/>
    <n v="270.92"/>
    <s v="Alluvial"/>
    <n v="27.99"/>
  </r>
  <r>
    <s v="CID452"/>
    <d v="2019-09-20T00:00:00"/>
    <x v="12"/>
    <x v="3"/>
    <x v="2"/>
    <s v="Bangalore"/>
    <x v="1"/>
    <x v="1"/>
    <n v="16.739999999999998"/>
    <n v="65.19"/>
    <n v="3894.25"/>
    <s v="Medium"/>
    <x v="0"/>
    <s v="Vermicompost"/>
    <n v="135.18"/>
    <n v="1013.92"/>
    <s v="Sandy"/>
    <n v="26.47"/>
  </r>
  <r>
    <s v="CID453"/>
    <d v="2018-05-23T00:00:00"/>
    <x v="3"/>
    <x v="4"/>
    <x v="3"/>
    <s v="Howrah"/>
    <x v="0"/>
    <x v="4"/>
    <n v="18.14"/>
    <n v="91.02"/>
    <n v="5017.63"/>
    <s v="High"/>
    <x v="1"/>
    <s v="Compost"/>
    <n v="78.58"/>
    <n v="796.08"/>
    <s v="Alluvial"/>
    <n v="28.33"/>
  </r>
  <r>
    <s v="CID454"/>
    <d v="2016-07-06T00:00:00"/>
    <x v="4"/>
    <x v="6"/>
    <x v="0"/>
    <s v="Faridabad"/>
    <x v="1"/>
    <x v="1"/>
    <n v="11.77"/>
    <n v="69.260000000000005"/>
    <n v="5884.4"/>
    <s v="High"/>
    <x v="1"/>
    <s v="Vermicompost"/>
    <n v="131.85"/>
    <n v="844.99"/>
    <s v="Black"/>
    <n v="21.36"/>
  </r>
  <r>
    <s v="CID455"/>
    <d v="2022-08-21T00:00:00"/>
    <x v="7"/>
    <x v="4"/>
    <x v="3"/>
    <s v="Darjeeling"/>
    <x v="1"/>
    <x v="4"/>
    <n v="66.430000000000007"/>
    <n v="246.98"/>
    <n v="3717.85"/>
    <s v="Medium"/>
    <x v="2"/>
    <s v="NPK"/>
    <n v="147.5"/>
    <n v="777.93"/>
    <s v="Red"/>
    <n v="23.08"/>
  </r>
  <r>
    <s v="CID456"/>
    <d v="2014-12-03T00:00:00"/>
    <x v="9"/>
    <x v="5"/>
    <x v="3"/>
    <s v="Bhagalpur"/>
    <x v="2"/>
    <x v="2"/>
    <n v="98.28"/>
    <n v="301.29000000000002"/>
    <n v="3065.59"/>
    <s v="Medium"/>
    <x v="0"/>
    <s v="NPK"/>
    <n v="195.68"/>
    <n v="811.49"/>
    <s v="Sandy"/>
    <n v="26.06"/>
  </r>
  <r>
    <s v="CID457"/>
    <d v="2018-10-30T00:00:00"/>
    <x v="3"/>
    <x v="1"/>
    <x v="0"/>
    <s v="Amritsar"/>
    <x v="1"/>
    <x v="5"/>
    <n v="70.63"/>
    <n v="418.45"/>
    <n v="5924.52"/>
    <s v="High"/>
    <x v="2"/>
    <s v="Compost"/>
    <n v="77.42"/>
    <n v="482.21"/>
    <s v="Black"/>
    <n v="23.53"/>
  </r>
  <r>
    <s v="CID458"/>
    <d v="2022-02-01T00:00:00"/>
    <x v="8"/>
    <x v="0"/>
    <x v="0"/>
    <s v="Kanpur"/>
    <x v="2"/>
    <x v="3"/>
    <n v="38.770000000000003"/>
    <n v="165.58"/>
    <n v="4270.71"/>
    <s v="Medium"/>
    <x v="3"/>
    <s v="Compost"/>
    <n v="168.72"/>
    <n v="388.23"/>
    <s v="Laterite"/>
    <n v="32.65"/>
  </r>
  <r>
    <s v="CID459"/>
    <d v="2020-07-05T00:00:00"/>
    <x v="11"/>
    <x v="6"/>
    <x v="0"/>
    <s v="Faridabad"/>
    <x v="1"/>
    <x v="4"/>
    <n v="2.15"/>
    <n v="10.51"/>
    <n v="4890.34"/>
    <s v="Medium"/>
    <x v="3"/>
    <s v="Urea"/>
    <n v="230.33"/>
    <n v="686.7"/>
    <s v="Laterite"/>
    <n v="34.619999999999997"/>
  </r>
  <r>
    <s v="CID460"/>
    <d v="2023-02-24T00:00:00"/>
    <x v="7"/>
    <x v="6"/>
    <x v="0"/>
    <s v="Hisar"/>
    <x v="2"/>
    <x v="3"/>
    <n v="89.46"/>
    <n v="462.72"/>
    <n v="5172.34"/>
    <s v="High"/>
    <x v="1"/>
    <s v="Compost"/>
    <n v="205.81"/>
    <n v="654.39"/>
    <s v="Laterite"/>
    <n v="28.28"/>
  </r>
  <r>
    <s v="CID461"/>
    <d v="2012-11-09T00:00:00"/>
    <x v="2"/>
    <x v="2"/>
    <x v="1"/>
    <s v="Nagpur"/>
    <x v="2"/>
    <x v="1"/>
    <n v="1.74"/>
    <n v="6.94"/>
    <n v="3988.94"/>
    <s v="Medium"/>
    <x v="3"/>
    <s v="Urea"/>
    <n v="228.03"/>
    <n v="469.25"/>
    <s v="Sandy"/>
    <n v="28.65"/>
  </r>
  <r>
    <s v="CID462"/>
    <d v="2021-11-21T00:00:00"/>
    <x v="8"/>
    <x v="5"/>
    <x v="3"/>
    <s v="Gaya"/>
    <x v="2"/>
    <x v="5"/>
    <n v="58.45"/>
    <n v="395.73"/>
    <n v="6770.43"/>
    <s v="High"/>
    <x v="0"/>
    <s v="Vermicompost"/>
    <n v="85.52"/>
    <n v="931.29"/>
    <s v="Alluvial"/>
    <n v="26.97"/>
  </r>
  <r>
    <s v="CID463"/>
    <d v="2013-11-14T00:00:00"/>
    <x v="1"/>
    <x v="5"/>
    <x v="3"/>
    <s v="Patna"/>
    <x v="2"/>
    <x v="2"/>
    <n v="74.430000000000007"/>
    <n v="503.33"/>
    <n v="6762.47"/>
    <s v="High"/>
    <x v="0"/>
    <s v="NPK"/>
    <n v="221.02"/>
    <n v="739.2"/>
    <s v="Sandy"/>
    <n v="24.69"/>
  </r>
  <r>
    <s v="CID464"/>
    <d v="2017-11-10T00:00:00"/>
    <x v="6"/>
    <x v="5"/>
    <x v="3"/>
    <s v="Patna"/>
    <x v="2"/>
    <x v="1"/>
    <n v="90.7"/>
    <n v="403.05"/>
    <n v="4443.79"/>
    <s v="Medium"/>
    <x v="2"/>
    <s v="Vermicompost"/>
    <n v="155.25"/>
    <n v="1160.58"/>
    <s v="Alluvial"/>
    <n v="24.34"/>
  </r>
  <r>
    <s v="CID465"/>
    <d v="2021-05-10T00:00:00"/>
    <x v="8"/>
    <x v="0"/>
    <x v="0"/>
    <s v="Kanpur"/>
    <x v="0"/>
    <x v="0"/>
    <n v="7.08"/>
    <n v="27.18"/>
    <n v="3838.96"/>
    <s v="Medium"/>
    <x v="3"/>
    <s v="Urea"/>
    <n v="193.21"/>
    <n v="856.32"/>
    <s v="Alluvial"/>
    <n v="32.130000000000003"/>
  </r>
  <r>
    <s v="CID466"/>
    <d v="2011-06-29T00:00:00"/>
    <x v="5"/>
    <x v="2"/>
    <x v="1"/>
    <s v="Pune"/>
    <x v="1"/>
    <x v="1"/>
    <n v="8.61"/>
    <n v="49.1"/>
    <n v="5702.58"/>
    <s v="High"/>
    <x v="2"/>
    <s v="Vermicompost"/>
    <n v="83.13"/>
    <n v="480.97"/>
    <s v="Alluvial"/>
    <n v="20.21"/>
  </r>
  <r>
    <s v="CID467"/>
    <d v="2021-06-09T00:00:00"/>
    <x v="8"/>
    <x v="6"/>
    <x v="0"/>
    <s v="Hisar"/>
    <x v="1"/>
    <x v="2"/>
    <n v="45.22"/>
    <n v="264.39999999999998"/>
    <n v="5847.04"/>
    <s v="High"/>
    <x v="2"/>
    <s v="NPK"/>
    <n v="245.63"/>
    <n v="436.2"/>
    <s v="Red"/>
    <n v="31.99"/>
  </r>
  <r>
    <s v="CID468"/>
    <d v="2019-08-28T00:00:00"/>
    <x v="12"/>
    <x v="1"/>
    <x v="0"/>
    <s v="Ludhiana"/>
    <x v="1"/>
    <x v="3"/>
    <n v="75.52"/>
    <n v="262.64"/>
    <n v="3477.69"/>
    <s v="Medium"/>
    <x v="1"/>
    <s v="Urea"/>
    <n v="109.49"/>
    <n v="640.19000000000005"/>
    <s v="Red"/>
    <n v="23.16"/>
  </r>
  <r>
    <s v="CID469"/>
    <d v="2022-09-08T00:00:00"/>
    <x v="7"/>
    <x v="0"/>
    <x v="0"/>
    <s v="Kanpur"/>
    <x v="1"/>
    <x v="5"/>
    <n v="17.59"/>
    <n v="59.67"/>
    <n v="3392.47"/>
    <s v="Medium"/>
    <x v="2"/>
    <s v="Compost"/>
    <n v="169.07"/>
    <n v="1148.25"/>
    <s v="Sandy"/>
    <n v="23.5"/>
  </r>
  <r>
    <s v="CID470"/>
    <d v="2019-03-17T00:00:00"/>
    <x v="3"/>
    <x v="2"/>
    <x v="1"/>
    <s v="Nagpur"/>
    <x v="2"/>
    <x v="5"/>
    <n v="29.59"/>
    <n v="171.14"/>
    <n v="5783.85"/>
    <s v="High"/>
    <x v="1"/>
    <s v="NPK"/>
    <n v="219.62"/>
    <n v="1161.76"/>
    <s v="Black"/>
    <n v="21.46"/>
  </r>
  <r>
    <s v="CID471"/>
    <d v="2019-05-18T00:00:00"/>
    <x v="12"/>
    <x v="4"/>
    <x v="3"/>
    <s v="Howrah"/>
    <x v="0"/>
    <x v="0"/>
    <n v="34.159999999999997"/>
    <n v="88.9"/>
    <n v="2602.5300000000002"/>
    <s v="Low"/>
    <x v="0"/>
    <s v="DAP"/>
    <n v="113.84"/>
    <n v="784.18"/>
    <s v="Laterite"/>
    <n v="31.6"/>
  </r>
  <r>
    <s v="CID472"/>
    <d v="2019-06-04T00:00:00"/>
    <x v="12"/>
    <x v="0"/>
    <x v="0"/>
    <s v="Varanasi"/>
    <x v="1"/>
    <x v="1"/>
    <n v="34.4"/>
    <n v="176.87"/>
    <n v="5141.67"/>
    <s v="High"/>
    <x v="3"/>
    <s v="Compost"/>
    <n v="128.32"/>
    <n v="210.58"/>
    <s v="Black"/>
    <n v="32.479999999999997"/>
  </r>
  <r>
    <s v="CID473"/>
    <d v="2011-05-09T00:00:00"/>
    <x v="5"/>
    <x v="1"/>
    <x v="0"/>
    <s v="Patiala"/>
    <x v="0"/>
    <x v="3"/>
    <n v="35.799999999999997"/>
    <n v="191.58"/>
    <n v="5351.5"/>
    <s v="High"/>
    <x v="2"/>
    <s v="DAP"/>
    <n v="98.27"/>
    <n v="223.7"/>
    <s v="Black"/>
    <n v="20.85"/>
  </r>
  <r>
    <s v="CID474"/>
    <d v="2011-04-12T00:00:00"/>
    <x v="5"/>
    <x v="5"/>
    <x v="3"/>
    <s v="Bhagalpur"/>
    <x v="0"/>
    <x v="5"/>
    <n v="9.5500000000000007"/>
    <n v="44.2"/>
    <n v="4628.1099999999997"/>
    <s v="Medium"/>
    <x v="1"/>
    <s v="Urea"/>
    <n v="214.1"/>
    <n v="1099.9000000000001"/>
    <s v="Sandy"/>
    <n v="32.049999999999997"/>
  </r>
  <r>
    <s v="CID475"/>
    <d v="2015-01-22T00:00:00"/>
    <x v="9"/>
    <x v="0"/>
    <x v="0"/>
    <s v="Lucknow"/>
    <x v="2"/>
    <x v="3"/>
    <n v="66.39"/>
    <n v="96.55"/>
    <n v="1454.29"/>
    <s v="Low"/>
    <x v="1"/>
    <s v="NPK"/>
    <n v="280.67"/>
    <n v="476.38"/>
    <s v="Laterite"/>
    <n v="30.38"/>
  </r>
  <r>
    <s v="CID476"/>
    <d v="2014-07-22T00:00:00"/>
    <x v="9"/>
    <x v="6"/>
    <x v="0"/>
    <s v="Gurgaon"/>
    <x v="1"/>
    <x v="3"/>
    <n v="39.47"/>
    <n v="275.33"/>
    <n v="6975.75"/>
    <s v="High"/>
    <x v="2"/>
    <s v="Vermicompost"/>
    <n v="288.89999999999998"/>
    <n v="464.66"/>
    <s v="Laterite"/>
    <n v="21.04"/>
  </r>
  <r>
    <s v="CID477"/>
    <d v="2020-11-27T00:00:00"/>
    <x v="11"/>
    <x v="3"/>
    <x v="2"/>
    <s v="Bangalore"/>
    <x v="2"/>
    <x v="5"/>
    <n v="15.24"/>
    <n v="85.53"/>
    <n v="5612.24"/>
    <s v="High"/>
    <x v="3"/>
    <s v="Urea"/>
    <n v="203.49"/>
    <n v="306.25"/>
    <s v="Laterite"/>
    <n v="30.73"/>
  </r>
  <r>
    <s v="CID478"/>
    <d v="2019-04-18T00:00:00"/>
    <x v="12"/>
    <x v="1"/>
    <x v="0"/>
    <s v="Ludhiana"/>
    <x v="0"/>
    <x v="0"/>
    <n v="77.95"/>
    <n v="86.73"/>
    <n v="1112.5899999999999"/>
    <s v="Low"/>
    <x v="1"/>
    <s v="DAP"/>
    <n v="87.21"/>
    <n v="840.34"/>
    <s v="Black"/>
    <n v="29.97"/>
  </r>
  <r>
    <s v="CID479"/>
    <d v="2016-04-01T00:00:00"/>
    <x v="4"/>
    <x v="0"/>
    <x v="0"/>
    <s v="Kanpur"/>
    <x v="0"/>
    <x v="5"/>
    <n v="52.02"/>
    <n v="345.39"/>
    <n v="6639.47"/>
    <s v="High"/>
    <x v="1"/>
    <s v="Compost"/>
    <n v="169.53"/>
    <n v="603.91"/>
    <s v="Black"/>
    <n v="28.1"/>
  </r>
  <r>
    <s v="CID480"/>
    <d v="2011-05-25T00:00:00"/>
    <x v="5"/>
    <x v="0"/>
    <x v="0"/>
    <s v="Kanpur"/>
    <x v="0"/>
    <x v="1"/>
    <n v="93.57"/>
    <n v="295.07"/>
    <n v="3153.51"/>
    <s v="Medium"/>
    <x v="2"/>
    <s v="NPK"/>
    <n v="150.15"/>
    <n v="832.27"/>
    <s v="Black"/>
    <n v="25.48"/>
  </r>
  <r>
    <s v="CID481"/>
    <d v="2023-01-31T00:00:00"/>
    <x v="7"/>
    <x v="1"/>
    <x v="0"/>
    <s v="Amritsar"/>
    <x v="2"/>
    <x v="2"/>
    <n v="21.11"/>
    <n v="91.34"/>
    <n v="4326.8500000000004"/>
    <s v="Medium"/>
    <x v="1"/>
    <s v="Compost"/>
    <n v="215.18"/>
    <n v="498.87"/>
    <s v="Laterite"/>
    <n v="33.450000000000003"/>
  </r>
  <r>
    <s v="CID482"/>
    <d v="2017-05-02T00:00:00"/>
    <x v="6"/>
    <x v="1"/>
    <x v="0"/>
    <s v="Patiala"/>
    <x v="0"/>
    <x v="4"/>
    <n v="14.85"/>
    <n v="32.049999999999997"/>
    <n v="2158.56"/>
    <s v="Low"/>
    <x v="3"/>
    <s v="Vermicompost"/>
    <n v="172.31"/>
    <n v="262.99"/>
    <s v="Sandy"/>
    <n v="29.65"/>
  </r>
  <r>
    <s v="CID483"/>
    <d v="2010-10-16T00:00:00"/>
    <x v="0"/>
    <x v="4"/>
    <x v="3"/>
    <s v="Howrah"/>
    <x v="1"/>
    <x v="0"/>
    <n v="6.55"/>
    <n v="37.51"/>
    <n v="5726.67"/>
    <s v="High"/>
    <x v="0"/>
    <s v="DAP"/>
    <n v="151.38"/>
    <n v="411.68"/>
    <s v="Sandy"/>
    <n v="26.88"/>
  </r>
  <r>
    <s v="CID484"/>
    <d v="2013-07-04T00:00:00"/>
    <x v="1"/>
    <x v="0"/>
    <x v="0"/>
    <s v="Varanasi"/>
    <x v="1"/>
    <x v="5"/>
    <n v="73.81"/>
    <n v="290.32"/>
    <n v="3933.37"/>
    <s v="Medium"/>
    <x v="0"/>
    <s v="Urea"/>
    <n v="167.8"/>
    <n v="1118.02"/>
    <s v="Black"/>
    <n v="23.64"/>
  </r>
  <r>
    <s v="CID485"/>
    <d v="2010-12-27T00:00:00"/>
    <x v="0"/>
    <x v="6"/>
    <x v="0"/>
    <s v="Hisar"/>
    <x v="2"/>
    <x v="5"/>
    <n v="46.16"/>
    <n v="93.43"/>
    <n v="2024.14"/>
    <s v="Low"/>
    <x v="0"/>
    <s v="Urea"/>
    <n v="254.45"/>
    <n v="306.33"/>
    <s v="Laterite"/>
    <n v="28.92"/>
  </r>
  <r>
    <s v="CID486"/>
    <d v="2016-12-15T00:00:00"/>
    <x v="4"/>
    <x v="4"/>
    <x v="3"/>
    <s v="Kolkata"/>
    <x v="2"/>
    <x v="2"/>
    <n v="68.16"/>
    <n v="200.76"/>
    <n v="2945.41"/>
    <s v="Low"/>
    <x v="3"/>
    <s v="NPK"/>
    <n v="130.4"/>
    <n v="1164.69"/>
    <s v="Red"/>
    <n v="31.46"/>
  </r>
  <r>
    <s v="CID487"/>
    <d v="2014-09-05T00:00:00"/>
    <x v="9"/>
    <x v="1"/>
    <x v="0"/>
    <s v="Ludhiana"/>
    <x v="1"/>
    <x v="3"/>
    <n v="17.64"/>
    <n v="56.79"/>
    <n v="3219.56"/>
    <s v="Medium"/>
    <x v="3"/>
    <s v="DAP"/>
    <n v="159.66999999999999"/>
    <n v="1125.68"/>
    <s v="Black"/>
    <n v="22"/>
  </r>
  <r>
    <s v="CID488"/>
    <d v="2011-07-23T00:00:00"/>
    <x v="5"/>
    <x v="1"/>
    <x v="0"/>
    <s v="Amritsar"/>
    <x v="1"/>
    <x v="5"/>
    <n v="18.760000000000002"/>
    <n v="28.79"/>
    <n v="1534.85"/>
    <s v="Low"/>
    <x v="2"/>
    <s v="DAP"/>
    <n v="154.06"/>
    <n v="1007.41"/>
    <s v="Laterite"/>
    <n v="30.39"/>
  </r>
  <r>
    <s v="CID489"/>
    <d v="2019-01-17T00:00:00"/>
    <x v="3"/>
    <x v="0"/>
    <x v="0"/>
    <s v="Kanpur"/>
    <x v="2"/>
    <x v="3"/>
    <n v="24.69"/>
    <n v="50.55"/>
    <n v="2047.29"/>
    <s v="Low"/>
    <x v="0"/>
    <s v="NPK"/>
    <n v="199.07"/>
    <n v="917.2"/>
    <s v="Sandy"/>
    <n v="34.25"/>
  </r>
  <r>
    <s v="CID490"/>
    <d v="2018-09-27T00:00:00"/>
    <x v="3"/>
    <x v="3"/>
    <x v="2"/>
    <s v="Bangalore"/>
    <x v="1"/>
    <x v="4"/>
    <n v="12.63"/>
    <n v="52.81"/>
    <n v="4181.1899999999996"/>
    <s v="Medium"/>
    <x v="0"/>
    <s v="DAP"/>
    <n v="204.73"/>
    <n v="1062.73"/>
    <s v="Sandy"/>
    <n v="27.61"/>
  </r>
  <r>
    <s v="CID491"/>
    <d v="2013-09-02T00:00:00"/>
    <x v="1"/>
    <x v="2"/>
    <x v="1"/>
    <s v="Nagpur"/>
    <x v="1"/>
    <x v="4"/>
    <n v="68.84"/>
    <n v="468.9"/>
    <n v="6811.44"/>
    <s v="High"/>
    <x v="1"/>
    <s v="NPK"/>
    <n v="174.38"/>
    <n v="359.76"/>
    <s v="Black"/>
    <n v="20.81"/>
  </r>
  <r>
    <s v="CID492"/>
    <d v="2014-11-08T00:00:00"/>
    <x v="9"/>
    <x v="6"/>
    <x v="0"/>
    <s v="Faridabad"/>
    <x v="2"/>
    <x v="1"/>
    <n v="80.709999999999994"/>
    <n v="447.98"/>
    <n v="5550.45"/>
    <s v="High"/>
    <x v="0"/>
    <s v="Compost"/>
    <n v="76.11"/>
    <n v="252.46"/>
    <s v="Sandy"/>
    <n v="22.64"/>
  </r>
  <r>
    <s v="CID493"/>
    <d v="2011-06-29T00:00:00"/>
    <x v="5"/>
    <x v="5"/>
    <x v="3"/>
    <s v="Patna"/>
    <x v="1"/>
    <x v="2"/>
    <n v="45.04"/>
    <n v="201.71"/>
    <n v="4478.57"/>
    <s v="Medium"/>
    <x v="1"/>
    <s v="NPK"/>
    <n v="99.69"/>
    <n v="876.85"/>
    <s v="Alluvial"/>
    <n v="23.45"/>
  </r>
  <r>
    <s v="CID494"/>
    <d v="2013-04-10T00:00:00"/>
    <x v="1"/>
    <x v="6"/>
    <x v="0"/>
    <s v="Gurgaon"/>
    <x v="0"/>
    <x v="3"/>
    <n v="87.12"/>
    <n v="283.42"/>
    <n v="3253.19"/>
    <s v="Medium"/>
    <x v="3"/>
    <s v="DAP"/>
    <n v="68.38"/>
    <n v="785.09"/>
    <s v="Black"/>
    <n v="33.36"/>
  </r>
  <r>
    <s v="CID495"/>
    <d v="2013-03-26T00:00:00"/>
    <x v="2"/>
    <x v="5"/>
    <x v="3"/>
    <s v="Gaya"/>
    <x v="2"/>
    <x v="0"/>
    <n v="14.5"/>
    <n v="77.12"/>
    <n v="5318.93"/>
    <s v="High"/>
    <x v="2"/>
    <s v="Urea"/>
    <n v="293.89"/>
    <n v="402.21"/>
    <s v="Red"/>
    <n v="20.48"/>
  </r>
  <r>
    <s v="CID496"/>
    <d v="2012-03-27T00:00:00"/>
    <x v="5"/>
    <x v="2"/>
    <x v="1"/>
    <s v="Nagpur"/>
    <x v="2"/>
    <x v="3"/>
    <n v="42.4"/>
    <n v="235.83"/>
    <n v="5562.04"/>
    <s v="High"/>
    <x v="3"/>
    <s v="Vermicompost"/>
    <n v="271.60000000000002"/>
    <n v="803.64"/>
    <s v="Sandy"/>
    <n v="33.58"/>
  </r>
  <r>
    <s v="CID497"/>
    <d v="2012-01-03T00:00:00"/>
    <x v="5"/>
    <x v="4"/>
    <x v="3"/>
    <s v="Kolkata"/>
    <x v="2"/>
    <x v="1"/>
    <n v="49.43"/>
    <n v="344.72"/>
    <n v="6973.99"/>
    <s v="High"/>
    <x v="1"/>
    <s v="DAP"/>
    <n v="259.25"/>
    <n v="479.17"/>
    <s v="Laterite"/>
    <n v="31.04"/>
  </r>
  <r>
    <s v="CID498"/>
    <d v="2019-10-08T00:00:00"/>
    <x v="12"/>
    <x v="2"/>
    <x v="1"/>
    <s v="Pune"/>
    <x v="1"/>
    <x v="1"/>
    <n v="94.68"/>
    <n v="613.77"/>
    <n v="6482.53"/>
    <s v="High"/>
    <x v="0"/>
    <s v="Urea"/>
    <n v="154.44"/>
    <n v="244.22"/>
    <s v="Laterite"/>
    <n v="31"/>
  </r>
  <r>
    <s v="CID499"/>
    <d v="2016-12-04T00:00:00"/>
    <x v="4"/>
    <x v="3"/>
    <x v="2"/>
    <s v="Hubli"/>
    <x v="2"/>
    <x v="2"/>
    <n v="82.31"/>
    <n v="305.75"/>
    <n v="3714.65"/>
    <s v="Medium"/>
    <x v="3"/>
    <s v="NPK"/>
    <n v="70.77"/>
    <n v="953.08"/>
    <s v="Laterite"/>
    <n v="34.25"/>
  </r>
  <r>
    <s v="CID500"/>
    <d v="2020-09-27T00:00:00"/>
    <x v="11"/>
    <x v="2"/>
    <x v="1"/>
    <s v="Nagpur"/>
    <x v="1"/>
    <x v="5"/>
    <n v="48.5"/>
    <n v="137.21"/>
    <n v="2829.02"/>
    <s v="Low"/>
    <x v="1"/>
    <s v="DAP"/>
    <n v="264.48"/>
    <n v="947.29"/>
    <s v="Black"/>
    <n v="3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8BC9E-7C7E-4C97-A982-1D646B7897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10" firstHeaderRow="1" firstDataRow="1" firstDataCol="1"/>
  <pivotFields count="18">
    <pivotField showAll="0"/>
    <pivotField numFmtId="14" showAll="0"/>
    <pivotField showAll="0"/>
    <pivotField showAll="0">
      <items count="8">
        <item x="5"/>
        <item x="6"/>
        <item x="3"/>
        <item x="2"/>
        <item x="1"/>
        <item x="0"/>
        <item x="4"/>
        <item t="default"/>
      </items>
    </pivotField>
    <pivotField showAll="0"/>
    <pivotField showAll="0"/>
    <pivotField showAll="0">
      <items count="4">
        <item x="1"/>
        <item x="2"/>
        <item x="0"/>
        <item t="default"/>
      </items>
    </pivotField>
    <pivotField axis="axisRow" showAll="0">
      <items count="7">
        <item x="2"/>
        <item x="0"/>
        <item x="1"/>
        <item x="4"/>
        <item x="3"/>
        <item x="5"/>
        <item t="default"/>
      </items>
    </pivotField>
    <pivotField showAll="0"/>
    <pivotField dataField="1" showAll="0"/>
    <pivotField showAll="0"/>
    <pivotField showAll="0"/>
    <pivotField showAll="0">
      <items count="5">
        <item x="3"/>
        <item x="0"/>
        <item x="1"/>
        <item x="2"/>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Production (Tonnes)" fld="9" baseField="0" baseItem="0"/>
  </dataFields>
  <chartFormats count="8">
    <chartFormat chart="1" format="1"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1"/>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4" format="14">
      <pivotArea type="data" outline="0" fieldPosition="0">
        <references count="2">
          <reference field="4294967294" count="1" selected="0">
            <x v="0"/>
          </reference>
          <reference field="7" count="1" selected="0">
            <x v="4"/>
          </reference>
        </references>
      </pivotArea>
    </chartFormat>
    <chartFormat chart="4" format="1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EFB25-95FE-4A46-9A57-653FC3F8BA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showAll="0"/>
    <pivotField numFmtId="14" showAll="0"/>
    <pivotField showAll="0"/>
    <pivotField axis="axisRow" showAll="0">
      <items count="8">
        <item x="5"/>
        <item x="6"/>
        <item x="3"/>
        <item x="2"/>
        <item x="1"/>
        <item x="0"/>
        <item x="4"/>
        <item t="default"/>
      </items>
    </pivotField>
    <pivotField showAll="0"/>
    <pivotField showAll="0"/>
    <pivotField showAll="0">
      <items count="4">
        <item x="1"/>
        <item x="2"/>
        <item x="0"/>
        <item t="default"/>
      </items>
    </pivotField>
    <pivotField showAll="0">
      <items count="7">
        <item x="2"/>
        <item x="0"/>
        <item x="1"/>
        <item x="4"/>
        <item x="3"/>
        <item x="5"/>
        <item t="default"/>
      </items>
    </pivotField>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Yield (Kg/Ha)" fld="10" subtotal="average" baseField="3"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6EAD8-CD0B-48E3-81B2-6BE4A02A14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0:G34" firstHeaderRow="1" firstDataRow="1" firstDataCol="1"/>
  <pivotFields count="18">
    <pivotField showAll="0"/>
    <pivotField numFmtId="14" showAll="0"/>
    <pivotField axis="axisRow"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pivotField showAll="0"/>
    <pivotField showAll="0">
      <items count="4">
        <item x="1"/>
        <item x="2"/>
        <item x="0"/>
        <item t="default"/>
      </items>
    </pivotField>
    <pivotField showAll="0">
      <items count="7">
        <item x="2"/>
        <item x="0"/>
        <item x="1"/>
        <item x="4"/>
        <item x="3"/>
        <item x="5"/>
        <item t="default"/>
      </items>
    </pivotField>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Average of Yield (Kg/Ha)" fld="10" subtotal="average" baseField="2"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12F46-E420-46C8-ABC5-8A85E516E1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4" firstHeaderRow="1" firstDataRow="1" firstDataCol="1"/>
  <pivotFields count="18">
    <pivotField showAll="0"/>
    <pivotField numFmtId="14" showAll="0"/>
    <pivotField showAll="0"/>
    <pivotField showAll="0">
      <items count="8">
        <item x="5"/>
        <item x="6"/>
        <item x="3"/>
        <item x="2"/>
        <item x="1"/>
        <item x="0"/>
        <item x="4"/>
        <item t="default"/>
      </items>
    </pivotField>
    <pivotField showAll="0"/>
    <pivotField showAll="0"/>
    <pivotField showAll="0">
      <items count="4">
        <item x="1"/>
        <item x="2"/>
        <item x="0"/>
        <item t="default"/>
      </items>
    </pivotField>
    <pivotField showAll="0">
      <items count="7">
        <item x="2"/>
        <item x="0"/>
        <item x="1"/>
        <item x="4"/>
        <item x="3"/>
        <item x="5"/>
        <item t="default"/>
      </items>
    </pivotField>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Average of Yield (Kg/Ha)" fld="10" subtotal="average" baseField="12"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7D9175-11BC-4793-BF33-EBD9933E630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3:G18" firstHeaderRow="1" firstDataRow="1" firstDataCol="1"/>
  <pivotFields count="18">
    <pivotField showAll="0"/>
    <pivotField numFmtId="14" showAll="0"/>
    <pivotField showAll="0"/>
    <pivotField showAll="0">
      <items count="8">
        <item x="5"/>
        <item x="6"/>
        <item x="3"/>
        <item x="2"/>
        <item x="1"/>
        <item x="0"/>
        <item x="4"/>
        <item t="default"/>
      </items>
    </pivotField>
    <pivotField axis="axisRow" showAll="0">
      <items count="5">
        <item x="3"/>
        <item x="0"/>
        <item x="2"/>
        <item x="1"/>
        <item t="default"/>
      </items>
    </pivotField>
    <pivotField showAll="0"/>
    <pivotField showAll="0">
      <items count="4">
        <item x="1"/>
        <item x="2"/>
        <item x="0"/>
        <item t="default"/>
      </items>
    </pivotField>
    <pivotField showAll="0">
      <items count="7">
        <item x="2"/>
        <item x="0"/>
        <item x="1"/>
        <item x="4"/>
        <item x="3"/>
        <item x="5"/>
        <item t="default"/>
      </items>
    </pivotField>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Yield (Kg/Ha)" fld="10" subtotal="average" baseField="4"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D8BC2A-8B07-4658-80A6-5626250C95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7" firstHeaderRow="1" firstDataRow="1" firstDataCol="1"/>
  <pivotFields count="18">
    <pivotField showAll="0"/>
    <pivotField numFmtId="14" showAll="0"/>
    <pivotField showAll="0"/>
    <pivotField showAll="0">
      <items count="8">
        <item x="5"/>
        <item x="6"/>
        <item x="3"/>
        <item x="2"/>
        <item x="1"/>
        <item x="0"/>
        <item x="4"/>
        <item t="default"/>
      </items>
    </pivotField>
    <pivotField showAll="0"/>
    <pivotField showAll="0"/>
    <pivotField axis="axisRow" showAll="0">
      <items count="4">
        <item x="1"/>
        <item x="2"/>
        <item x="0"/>
        <item t="default"/>
      </items>
    </pivotField>
    <pivotField showAll="0">
      <items count="7">
        <item x="2"/>
        <item x="0"/>
        <item x="1"/>
        <item x="4"/>
        <item x="3"/>
        <item x="5"/>
        <item t="default"/>
      </items>
    </pivotField>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Yield (Kg/Ha)" fld="10" subtotal="average" baseField="6" baseItem="0"/>
  </dataFields>
  <chartFormats count="2">
    <chartFormat chart="1"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8C955A-CB13-494C-816F-3ECD87BD43A9}" sourceName="State">
  <pivotTables>
    <pivotTable tabId="3" name="PivotTable2"/>
    <pivotTable tabId="3" name="PivotTable3"/>
    <pivotTable tabId="3" name="PivotTable4"/>
    <pivotTable tabId="3" name="PivotTable5"/>
    <pivotTable tabId="3" name="PivotTable6"/>
    <pivotTable tabId="3" name="PivotTable7"/>
  </pivotTables>
  <data>
    <tabular pivotCacheId="1131147896">
      <items count="7">
        <i x="5" s="1"/>
        <i x="6"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0C61C45-5D2D-4825-B60D-0B0278DC522A}" sourceName="Season">
  <pivotTables>
    <pivotTable tabId="3" name="PivotTable2"/>
    <pivotTable tabId="3" name="PivotTable3"/>
    <pivotTable tabId="3" name="PivotTable4"/>
    <pivotTable tabId="3" name="PivotTable5"/>
    <pivotTable tabId="3" name="PivotTable6"/>
    <pivotTable tabId="3" name="PivotTable7"/>
  </pivotTables>
  <data>
    <tabular pivotCacheId="113114789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 xr10:uid="{DAB0DAAF-8435-4A48-964F-ECC443DA2AFF}" sourceName="Crop Name">
  <pivotTables>
    <pivotTable tabId="3" name="PivotTable2"/>
    <pivotTable tabId="3" name="PivotTable3"/>
    <pivotTable tabId="3" name="PivotTable4"/>
    <pivotTable tabId="3" name="PivotTable5"/>
    <pivotTable tabId="3" name="PivotTable6"/>
    <pivotTable tabId="3" name="PivotTable7"/>
  </pivotTables>
  <data>
    <tabular pivotCacheId="1131147896">
      <items count="6">
        <i x="2" s="1"/>
        <i x="0" s="1"/>
        <i x="1"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942D0F1A-AD09-4CF8-87F6-2EEDB11D278E}" sourceName="Irrigation Type">
  <pivotTables>
    <pivotTable tabId="3" name="PivotTable2"/>
    <pivotTable tabId="3" name="PivotTable3"/>
    <pivotTable tabId="3" name="PivotTable4"/>
    <pivotTable tabId="3" name="PivotTable5"/>
    <pivotTable tabId="3" name="PivotTable6"/>
    <pivotTable tabId="3" name="PivotTable7"/>
  </pivotTables>
  <data>
    <tabular pivotCacheId="1131147896">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4D3D88C-FFB8-4B71-86FE-E7715A246479}" cache="Slicer_State" caption="State" rowHeight="241300"/>
  <slicer name="Season" xr10:uid="{28EEDE9F-0842-462F-B6D8-27A5BCE26B2B}" cache="Slicer_Season" caption="Season" rowHeight="241300"/>
  <slicer name="Crop Name" xr10:uid="{B91BFC6B-C492-4BB5-BE4F-5298BD221E48}" cache="Slicer_Crop_Name" caption="Crop Name" rowHeight="241300"/>
  <slicer name="Irrigation Type" xr10:uid="{EE4F3CA9-DB8A-41F5-A5C7-54804DA1C012}" cache="Slicer_Irrigation_Type" caption="Irrigation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654A-ED00-47ED-AF66-97985FB422B9}">
  <dimension ref="A1:Q4"/>
  <sheetViews>
    <sheetView showGridLines="0" tabSelected="1" zoomScale="64" zoomScaleNormal="85" workbookViewId="0">
      <selection activeCell="L4" sqref="L4"/>
    </sheetView>
  </sheetViews>
  <sheetFormatPr defaultRowHeight="15" x14ac:dyDescent="0.25"/>
  <cols>
    <col min="2" max="2" width="9.140625" customWidth="1"/>
    <col min="4" max="4" width="12.28515625" bestFit="1" customWidth="1"/>
    <col min="5" max="5" width="10.5703125" customWidth="1"/>
    <col min="6" max="6" width="9.28515625" bestFit="1" customWidth="1"/>
    <col min="8" max="8" width="9.28515625" bestFit="1" customWidth="1"/>
  </cols>
  <sheetData>
    <row r="1" spans="1:17" ht="23.25" x14ac:dyDescent="0.35">
      <c r="A1" s="7" t="s">
        <v>581</v>
      </c>
      <c r="B1" s="7"/>
      <c r="C1" s="7"/>
      <c r="D1" s="7"/>
      <c r="E1" s="7"/>
      <c r="F1" s="7"/>
      <c r="G1" s="7"/>
      <c r="H1" s="7"/>
      <c r="I1" s="7"/>
      <c r="J1" s="7"/>
      <c r="K1" s="7"/>
      <c r="L1" s="7"/>
      <c r="M1" s="7"/>
      <c r="N1" s="7"/>
      <c r="O1" s="7"/>
      <c r="P1" s="7"/>
      <c r="Q1" s="7"/>
    </row>
    <row r="2" spans="1:17" x14ac:dyDescent="0.25">
      <c r="B2" s="5" t="s">
        <v>577</v>
      </c>
      <c r="C2" s="5"/>
      <c r="D2" s="5" t="s">
        <v>580</v>
      </c>
      <c r="E2" s="5"/>
      <c r="F2" s="5" t="s">
        <v>578</v>
      </c>
      <c r="G2" s="5"/>
      <c r="H2" s="5" t="s">
        <v>579</v>
      </c>
      <c r="I2" s="5"/>
    </row>
    <row r="3" spans="1:17" ht="21" x14ac:dyDescent="0.35">
      <c r="B3" s="6">
        <f>COUNTA(Cleaned_data!A2:A501)</f>
        <v>500</v>
      </c>
      <c r="C3" s="5"/>
      <c r="D3" s="6">
        <f>SUM(Cleaned_data!J2:J501)</f>
        <v>98359.429999999891</v>
      </c>
      <c r="E3" s="5"/>
      <c r="F3" s="6">
        <f>AVERAGE(Cleaned_data!K2:K501)</f>
        <v>3994.7078000000042</v>
      </c>
      <c r="G3" s="5"/>
      <c r="H3" s="6">
        <f>SUM(Cleaned_data!I2:I501)</f>
        <v>24847.230000000018</v>
      </c>
      <c r="I3" s="5"/>
    </row>
    <row r="4" spans="1:17" ht="16.5" x14ac:dyDescent="0.3">
      <c r="B4" s="2"/>
      <c r="C4" s="2"/>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074D-34AA-4DB3-861C-52999EB9AF3E}">
  <dimension ref="A1:P501"/>
  <sheetViews>
    <sheetView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s="1">
        <v>40271</v>
      </c>
      <c r="C2">
        <v>2010</v>
      </c>
      <c r="D2" t="s">
        <v>17</v>
      </c>
      <c r="E2" t="s">
        <v>18</v>
      </c>
      <c r="F2" t="s">
        <v>19</v>
      </c>
      <c r="G2" t="s">
        <v>20</v>
      </c>
      <c r="H2">
        <v>25.24</v>
      </c>
      <c r="I2">
        <v>46.37</v>
      </c>
      <c r="J2">
        <v>1837.23</v>
      </c>
      <c r="K2" t="s">
        <v>21</v>
      </c>
      <c r="L2" t="s">
        <v>22</v>
      </c>
      <c r="M2">
        <v>219.17</v>
      </c>
      <c r="N2">
        <v>1092.18</v>
      </c>
      <c r="O2" t="s">
        <v>23</v>
      </c>
      <c r="P2">
        <v>28.86</v>
      </c>
    </row>
    <row r="3" spans="1:16" x14ac:dyDescent="0.25">
      <c r="A3" t="s">
        <v>24</v>
      </c>
      <c r="B3" s="1">
        <v>41375</v>
      </c>
      <c r="C3">
        <v>2013</v>
      </c>
      <c r="D3" t="s">
        <v>25</v>
      </c>
      <c r="E3" t="s">
        <v>26</v>
      </c>
      <c r="F3" t="s">
        <v>19</v>
      </c>
      <c r="G3" t="s">
        <v>27</v>
      </c>
      <c r="H3">
        <v>3.63</v>
      </c>
      <c r="I3">
        <v>7.96</v>
      </c>
      <c r="J3">
        <v>2193.0300000000002</v>
      </c>
      <c r="K3" t="s">
        <v>28</v>
      </c>
      <c r="L3" t="s">
        <v>29</v>
      </c>
      <c r="M3">
        <v>105.11</v>
      </c>
      <c r="N3">
        <v>789.27</v>
      </c>
      <c r="O3" t="s">
        <v>23</v>
      </c>
      <c r="P3">
        <v>31.38</v>
      </c>
    </row>
    <row r="4" spans="1:16" x14ac:dyDescent="0.25">
      <c r="A4" t="s">
        <v>30</v>
      </c>
      <c r="B4" s="1">
        <v>41198</v>
      </c>
      <c r="C4">
        <v>2012</v>
      </c>
      <c r="D4" t="s">
        <v>31</v>
      </c>
      <c r="E4" t="s">
        <v>32</v>
      </c>
      <c r="F4" t="s">
        <v>33</v>
      </c>
      <c r="G4" t="s">
        <v>20</v>
      </c>
      <c r="H4">
        <v>11.12</v>
      </c>
      <c r="I4">
        <v>36.47</v>
      </c>
      <c r="J4">
        <v>3279.56</v>
      </c>
      <c r="K4" t="s">
        <v>34</v>
      </c>
      <c r="L4" t="s">
        <v>22</v>
      </c>
      <c r="M4">
        <v>261.87</v>
      </c>
      <c r="N4">
        <v>803.73</v>
      </c>
      <c r="O4" t="s">
        <v>23</v>
      </c>
      <c r="P4">
        <v>30.95</v>
      </c>
    </row>
    <row r="5" spans="1:16" x14ac:dyDescent="0.25">
      <c r="A5" t="s">
        <v>35</v>
      </c>
      <c r="B5" s="1">
        <v>43425</v>
      </c>
      <c r="C5">
        <v>2018</v>
      </c>
      <c r="D5" t="s">
        <v>36</v>
      </c>
      <c r="E5" t="s">
        <v>37</v>
      </c>
      <c r="F5" t="s">
        <v>38</v>
      </c>
      <c r="G5" t="s">
        <v>39</v>
      </c>
      <c r="H5">
        <v>62.23</v>
      </c>
      <c r="I5">
        <v>383.97</v>
      </c>
      <c r="J5">
        <v>6170.24</v>
      </c>
      <c r="K5" t="s">
        <v>40</v>
      </c>
      <c r="L5" t="s">
        <v>41</v>
      </c>
      <c r="M5">
        <v>226.14</v>
      </c>
      <c r="N5">
        <v>245.82</v>
      </c>
      <c r="O5" t="s">
        <v>42</v>
      </c>
      <c r="P5">
        <v>31.6</v>
      </c>
    </row>
    <row r="6" spans="1:16" x14ac:dyDescent="0.25">
      <c r="A6" t="s">
        <v>43</v>
      </c>
      <c r="B6" s="1">
        <v>42718</v>
      </c>
      <c r="C6">
        <v>2016</v>
      </c>
      <c r="D6" t="s">
        <v>44</v>
      </c>
      <c r="E6" t="s">
        <v>45</v>
      </c>
      <c r="F6" t="s">
        <v>38</v>
      </c>
      <c r="G6" t="s">
        <v>46</v>
      </c>
      <c r="H6">
        <v>63.93</v>
      </c>
      <c r="I6">
        <v>203.87</v>
      </c>
      <c r="J6">
        <v>3188.99</v>
      </c>
      <c r="K6" t="s">
        <v>34</v>
      </c>
      <c r="L6" t="s">
        <v>47</v>
      </c>
      <c r="M6">
        <v>138.82</v>
      </c>
      <c r="N6">
        <v>870.18</v>
      </c>
      <c r="O6" t="s">
        <v>23</v>
      </c>
      <c r="P6">
        <v>29.14</v>
      </c>
    </row>
    <row r="7" spans="1:16" x14ac:dyDescent="0.25">
      <c r="A7" t="s">
        <v>48</v>
      </c>
      <c r="B7" s="1">
        <v>41222</v>
      </c>
      <c r="C7">
        <v>2012</v>
      </c>
      <c r="D7" t="s">
        <v>17</v>
      </c>
      <c r="E7" t="s">
        <v>18</v>
      </c>
      <c r="F7" t="s">
        <v>38</v>
      </c>
      <c r="G7" t="s">
        <v>46</v>
      </c>
      <c r="H7">
        <v>27.72</v>
      </c>
      <c r="I7">
        <v>181.63</v>
      </c>
      <c r="J7">
        <v>6552.35</v>
      </c>
      <c r="K7" t="s">
        <v>40</v>
      </c>
      <c r="L7" t="s">
        <v>49</v>
      </c>
      <c r="M7">
        <v>221.15</v>
      </c>
      <c r="N7">
        <v>1042.8499999999999</v>
      </c>
      <c r="O7" t="s">
        <v>23</v>
      </c>
      <c r="P7">
        <v>23.44</v>
      </c>
    </row>
    <row r="8" spans="1:16" x14ac:dyDescent="0.25">
      <c r="A8" t="s">
        <v>50</v>
      </c>
      <c r="B8" s="1">
        <v>40730</v>
      </c>
      <c r="C8">
        <v>2011</v>
      </c>
      <c r="D8" t="s">
        <v>36</v>
      </c>
      <c r="E8" t="s">
        <v>51</v>
      </c>
      <c r="F8" t="s">
        <v>33</v>
      </c>
      <c r="G8" t="s">
        <v>27</v>
      </c>
      <c r="H8">
        <v>87.76</v>
      </c>
      <c r="I8">
        <v>253.46</v>
      </c>
      <c r="J8">
        <v>2888.07</v>
      </c>
      <c r="K8" t="s">
        <v>28</v>
      </c>
      <c r="L8" t="s">
        <v>41</v>
      </c>
      <c r="M8">
        <v>148.91</v>
      </c>
      <c r="N8">
        <v>1114.55</v>
      </c>
      <c r="O8" t="s">
        <v>52</v>
      </c>
      <c r="P8">
        <v>22.14</v>
      </c>
    </row>
    <row r="9" spans="1:16" x14ac:dyDescent="0.25">
      <c r="A9" t="s">
        <v>53</v>
      </c>
      <c r="B9" s="1">
        <v>43428</v>
      </c>
      <c r="C9">
        <v>2018</v>
      </c>
      <c r="D9" t="s">
        <v>17</v>
      </c>
      <c r="E9" t="s">
        <v>54</v>
      </c>
      <c r="F9" t="s">
        <v>38</v>
      </c>
      <c r="G9" t="s">
        <v>39</v>
      </c>
      <c r="H9">
        <v>58.87</v>
      </c>
      <c r="I9">
        <v>376</v>
      </c>
      <c r="J9">
        <v>6386.94</v>
      </c>
      <c r="K9" t="s">
        <v>28</v>
      </c>
      <c r="L9" t="s">
        <v>22</v>
      </c>
      <c r="M9">
        <v>140.5</v>
      </c>
      <c r="N9">
        <v>1197.33</v>
      </c>
      <c r="O9" t="s">
        <v>42</v>
      </c>
      <c r="P9">
        <v>27.64</v>
      </c>
    </row>
    <row r="10" spans="1:16" x14ac:dyDescent="0.25">
      <c r="A10" t="s">
        <v>55</v>
      </c>
      <c r="B10" s="1">
        <v>41035</v>
      </c>
      <c r="C10">
        <v>2012</v>
      </c>
      <c r="D10" t="s">
        <v>44</v>
      </c>
      <c r="E10" t="s">
        <v>45</v>
      </c>
      <c r="F10" t="s">
        <v>19</v>
      </c>
      <c r="G10" t="s">
        <v>56</v>
      </c>
      <c r="H10">
        <v>79.42</v>
      </c>
      <c r="I10">
        <v>280.58999999999997</v>
      </c>
      <c r="J10">
        <v>3532.96</v>
      </c>
      <c r="K10" t="s">
        <v>21</v>
      </c>
      <c r="L10" t="s">
        <v>22</v>
      </c>
      <c r="M10">
        <v>146.19</v>
      </c>
      <c r="N10">
        <v>795.89</v>
      </c>
      <c r="O10" t="s">
        <v>52</v>
      </c>
      <c r="P10">
        <v>27.94</v>
      </c>
    </row>
    <row r="11" spans="1:16" x14ac:dyDescent="0.25">
      <c r="A11" t="s">
        <v>57</v>
      </c>
      <c r="B11" s="1">
        <v>40680</v>
      </c>
      <c r="C11">
        <v>2011</v>
      </c>
      <c r="D11" t="s">
        <v>17</v>
      </c>
      <c r="E11" t="s">
        <v>54</v>
      </c>
      <c r="F11" t="s">
        <v>19</v>
      </c>
      <c r="G11" t="s">
        <v>27</v>
      </c>
      <c r="H11">
        <v>75.34</v>
      </c>
      <c r="I11">
        <v>422.78</v>
      </c>
      <c r="J11">
        <v>5611.59</v>
      </c>
      <c r="K11" t="s">
        <v>34</v>
      </c>
      <c r="L11" t="s">
        <v>49</v>
      </c>
      <c r="M11">
        <v>77.89</v>
      </c>
      <c r="N11">
        <v>634.77</v>
      </c>
      <c r="O11" t="s">
        <v>52</v>
      </c>
      <c r="P11">
        <v>20.05</v>
      </c>
    </row>
    <row r="12" spans="1:16" x14ac:dyDescent="0.25">
      <c r="A12" t="s">
        <v>58</v>
      </c>
      <c r="B12" s="1">
        <v>43387</v>
      </c>
      <c r="C12">
        <v>2018</v>
      </c>
      <c r="D12" t="s">
        <v>59</v>
      </c>
      <c r="E12" t="s">
        <v>60</v>
      </c>
      <c r="F12" t="s">
        <v>33</v>
      </c>
      <c r="G12" t="s">
        <v>39</v>
      </c>
      <c r="H12">
        <v>30.55</v>
      </c>
      <c r="I12">
        <v>147.66999999999999</v>
      </c>
      <c r="J12">
        <v>4833.7</v>
      </c>
      <c r="K12" t="s">
        <v>40</v>
      </c>
      <c r="L12" t="s">
        <v>22</v>
      </c>
      <c r="M12">
        <v>88.21</v>
      </c>
      <c r="N12">
        <v>962.51</v>
      </c>
      <c r="O12" t="s">
        <v>61</v>
      </c>
      <c r="P12">
        <v>34.299999999999997</v>
      </c>
    </row>
    <row r="13" spans="1:16" x14ac:dyDescent="0.25">
      <c r="A13" t="s">
        <v>62</v>
      </c>
      <c r="B13" s="1">
        <v>42908</v>
      </c>
      <c r="C13">
        <v>2017</v>
      </c>
      <c r="D13" t="s">
        <v>59</v>
      </c>
      <c r="E13" t="s">
        <v>63</v>
      </c>
      <c r="F13" t="s">
        <v>33</v>
      </c>
      <c r="G13" t="s">
        <v>64</v>
      </c>
      <c r="H13">
        <v>92.98</v>
      </c>
      <c r="I13">
        <v>583.20000000000005</v>
      </c>
      <c r="J13">
        <v>6272.33</v>
      </c>
      <c r="K13" t="s">
        <v>34</v>
      </c>
      <c r="L13" t="s">
        <v>29</v>
      </c>
      <c r="M13">
        <v>109.86</v>
      </c>
      <c r="N13">
        <v>440.87</v>
      </c>
      <c r="O13" t="s">
        <v>61</v>
      </c>
      <c r="P13">
        <v>34.200000000000003</v>
      </c>
    </row>
    <row r="14" spans="1:16" x14ac:dyDescent="0.25">
      <c r="A14" t="s">
        <v>65</v>
      </c>
      <c r="B14" s="1">
        <v>44711</v>
      </c>
      <c r="C14">
        <v>2022</v>
      </c>
      <c r="D14" t="s">
        <v>44</v>
      </c>
      <c r="E14" t="s">
        <v>45</v>
      </c>
      <c r="F14" t="s">
        <v>19</v>
      </c>
      <c r="G14" t="s">
        <v>56</v>
      </c>
      <c r="H14">
        <v>13.71</v>
      </c>
      <c r="I14">
        <v>52.81</v>
      </c>
      <c r="J14">
        <v>3851.69</v>
      </c>
      <c r="K14" t="s">
        <v>40</v>
      </c>
      <c r="L14" t="s">
        <v>47</v>
      </c>
      <c r="M14">
        <v>116.26</v>
      </c>
      <c r="N14">
        <v>1072.43</v>
      </c>
      <c r="O14" t="s">
        <v>52</v>
      </c>
      <c r="P14">
        <v>34.47</v>
      </c>
    </row>
    <row r="15" spans="1:16" x14ac:dyDescent="0.25">
      <c r="A15" t="s">
        <v>66</v>
      </c>
      <c r="B15" s="1">
        <v>44364</v>
      </c>
      <c r="C15">
        <v>2021</v>
      </c>
      <c r="D15" t="s">
        <v>44</v>
      </c>
      <c r="E15" t="s">
        <v>67</v>
      </c>
      <c r="F15" t="s">
        <v>33</v>
      </c>
      <c r="G15" t="s">
        <v>39</v>
      </c>
      <c r="H15">
        <v>31.86</v>
      </c>
      <c r="I15">
        <v>222.09</v>
      </c>
      <c r="J15">
        <v>6970.9</v>
      </c>
      <c r="K15" t="s">
        <v>34</v>
      </c>
      <c r="L15" t="s">
        <v>49</v>
      </c>
      <c r="M15">
        <v>159.53</v>
      </c>
      <c r="N15">
        <v>717.58</v>
      </c>
      <c r="O15" t="s">
        <v>23</v>
      </c>
      <c r="P15">
        <v>23.72</v>
      </c>
    </row>
    <row r="16" spans="1:16" x14ac:dyDescent="0.25">
      <c r="A16" t="s">
        <v>68</v>
      </c>
      <c r="B16" s="1">
        <v>43312</v>
      </c>
      <c r="C16">
        <v>2018</v>
      </c>
      <c r="D16" t="s">
        <v>25</v>
      </c>
      <c r="E16" t="s">
        <v>69</v>
      </c>
      <c r="F16" t="s">
        <v>33</v>
      </c>
      <c r="G16" t="s">
        <v>27</v>
      </c>
      <c r="H16">
        <v>22.8</v>
      </c>
      <c r="I16">
        <v>32.51</v>
      </c>
      <c r="J16">
        <v>1425.96</v>
      </c>
      <c r="K16" t="s">
        <v>21</v>
      </c>
      <c r="L16" t="s">
        <v>49</v>
      </c>
      <c r="M16">
        <v>107.24</v>
      </c>
      <c r="N16">
        <v>1105.42</v>
      </c>
      <c r="O16" t="s">
        <v>70</v>
      </c>
      <c r="P16">
        <v>21.06</v>
      </c>
    </row>
    <row r="17" spans="1:16" x14ac:dyDescent="0.25">
      <c r="A17" t="s">
        <v>71</v>
      </c>
      <c r="B17" s="1">
        <v>41371</v>
      </c>
      <c r="C17">
        <v>2013</v>
      </c>
      <c r="D17" t="s">
        <v>17</v>
      </c>
      <c r="E17" t="s">
        <v>72</v>
      </c>
      <c r="F17" t="s">
        <v>19</v>
      </c>
      <c r="G17" t="s">
        <v>56</v>
      </c>
      <c r="H17">
        <v>72.61</v>
      </c>
      <c r="I17">
        <v>457.03</v>
      </c>
      <c r="J17">
        <v>6294.3</v>
      </c>
      <c r="K17" t="s">
        <v>28</v>
      </c>
      <c r="L17" t="s">
        <v>29</v>
      </c>
      <c r="M17">
        <v>110.75</v>
      </c>
      <c r="N17">
        <v>672.97</v>
      </c>
      <c r="O17" t="s">
        <v>52</v>
      </c>
      <c r="P17">
        <v>22.86</v>
      </c>
    </row>
    <row r="18" spans="1:16" x14ac:dyDescent="0.25">
      <c r="A18" t="s">
        <v>73</v>
      </c>
      <c r="B18" s="1">
        <v>42723</v>
      </c>
      <c r="C18">
        <v>2016</v>
      </c>
      <c r="D18" t="s">
        <v>31</v>
      </c>
      <c r="E18" t="s">
        <v>32</v>
      </c>
      <c r="F18" t="s">
        <v>38</v>
      </c>
      <c r="G18" t="s">
        <v>39</v>
      </c>
      <c r="H18">
        <v>6.36</v>
      </c>
      <c r="I18">
        <v>31.3</v>
      </c>
      <c r="J18">
        <v>4920.7299999999996</v>
      </c>
      <c r="K18" t="s">
        <v>21</v>
      </c>
      <c r="L18" t="s">
        <v>47</v>
      </c>
      <c r="M18">
        <v>65.150000000000006</v>
      </c>
      <c r="N18">
        <v>928.21</v>
      </c>
      <c r="O18" t="s">
        <v>23</v>
      </c>
      <c r="P18">
        <v>23.73</v>
      </c>
    </row>
    <row r="19" spans="1:16" x14ac:dyDescent="0.25">
      <c r="A19" t="s">
        <v>74</v>
      </c>
      <c r="B19" s="1">
        <v>42660</v>
      </c>
      <c r="C19">
        <v>2016</v>
      </c>
      <c r="D19" t="s">
        <v>36</v>
      </c>
      <c r="E19" t="s">
        <v>37</v>
      </c>
      <c r="F19" t="s">
        <v>33</v>
      </c>
      <c r="G19" t="s">
        <v>20</v>
      </c>
      <c r="H19">
        <v>46.8</v>
      </c>
      <c r="I19">
        <v>292.36</v>
      </c>
      <c r="J19">
        <v>6246.92</v>
      </c>
      <c r="K19" t="s">
        <v>21</v>
      </c>
      <c r="L19" t="s">
        <v>22</v>
      </c>
      <c r="M19">
        <v>160.78</v>
      </c>
      <c r="N19">
        <v>1061.3499999999999</v>
      </c>
      <c r="O19" t="s">
        <v>61</v>
      </c>
      <c r="P19">
        <v>21.47</v>
      </c>
    </row>
    <row r="20" spans="1:16" x14ac:dyDescent="0.25">
      <c r="A20" t="s">
        <v>75</v>
      </c>
      <c r="B20" s="1">
        <v>41330</v>
      </c>
      <c r="C20">
        <v>2012</v>
      </c>
      <c r="D20" t="s">
        <v>25</v>
      </c>
      <c r="E20" t="s">
        <v>26</v>
      </c>
      <c r="F20" t="s">
        <v>38</v>
      </c>
      <c r="G20" t="s">
        <v>46</v>
      </c>
      <c r="H20">
        <v>48.65</v>
      </c>
      <c r="I20">
        <v>301.04000000000002</v>
      </c>
      <c r="J20">
        <v>6187.9</v>
      </c>
      <c r="K20" t="s">
        <v>21</v>
      </c>
      <c r="L20" t="s">
        <v>49</v>
      </c>
      <c r="M20">
        <v>91.16</v>
      </c>
      <c r="N20">
        <v>202.16</v>
      </c>
      <c r="O20" t="s">
        <v>52</v>
      </c>
      <c r="P20">
        <v>23.98</v>
      </c>
    </row>
    <row r="21" spans="1:16" x14ac:dyDescent="0.25">
      <c r="A21" t="s">
        <v>76</v>
      </c>
      <c r="B21" s="1">
        <v>44307</v>
      </c>
      <c r="C21">
        <v>2021</v>
      </c>
      <c r="D21" t="s">
        <v>36</v>
      </c>
      <c r="E21" t="s">
        <v>77</v>
      </c>
      <c r="F21" t="s">
        <v>19</v>
      </c>
      <c r="G21" t="s">
        <v>39</v>
      </c>
      <c r="H21">
        <v>72.12</v>
      </c>
      <c r="I21">
        <v>139.1</v>
      </c>
      <c r="J21">
        <v>1928.78</v>
      </c>
      <c r="K21" t="s">
        <v>34</v>
      </c>
      <c r="L21" t="s">
        <v>22</v>
      </c>
      <c r="M21">
        <v>104.43</v>
      </c>
      <c r="N21">
        <v>258.48</v>
      </c>
      <c r="O21" t="s">
        <v>61</v>
      </c>
      <c r="P21">
        <v>20.91</v>
      </c>
    </row>
    <row r="22" spans="1:16" x14ac:dyDescent="0.25">
      <c r="A22" t="s">
        <v>78</v>
      </c>
      <c r="B22" s="1">
        <v>42841</v>
      </c>
      <c r="C22">
        <v>2017</v>
      </c>
      <c r="D22" t="s">
        <v>25</v>
      </c>
      <c r="E22" t="s">
        <v>69</v>
      </c>
      <c r="F22" t="s">
        <v>19</v>
      </c>
      <c r="G22" t="s">
        <v>27</v>
      </c>
      <c r="H22">
        <v>16.59</v>
      </c>
      <c r="I22">
        <v>112.23</v>
      </c>
      <c r="J22">
        <v>6764.67</v>
      </c>
      <c r="K22" t="s">
        <v>21</v>
      </c>
      <c r="L22" t="s">
        <v>29</v>
      </c>
      <c r="M22">
        <v>262.83999999999997</v>
      </c>
      <c r="N22">
        <v>268.52</v>
      </c>
      <c r="O22" t="s">
        <v>23</v>
      </c>
      <c r="P22">
        <v>30.13</v>
      </c>
    </row>
    <row r="23" spans="1:16" x14ac:dyDescent="0.25">
      <c r="A23" t="s">
        <v>79</v>
      </c>
      <c r="B23" s="1">
        <v>41390</v>
      </c>
      <c r="C23">
        <v>2013</v>
      </c>
      <c r="D23" t="s">
        <v>25</v>
      </c>
      <c r="E23" t="s">
        <v>69</v>
      </c>
      <c r="F23" t="s">
        <v>19</v>
      </c>
      <c r="G23" t="s">
        <v>27</v>
      </c>
      <c r="H23">
        <v>4.93</v>
      </c>
      <c r="I23">
        <v>7.36</v>
      </c>
      <c r="J23">
        <v>1491.9</v>
      </c>
      <c r="K23" t="s">
        <v>34</v>
      </c>
      <c r="L23" t="s">
        <v>41</v>
      </c>
      <c r="M23">
        <v>283.68</v>
      </c>
      <c r="N23">
        <v>404.26</v>
      </c>
      <c r="O23" t="s">
        <v>70</v>
      </c>
      <c r="P23">
        <v>23.58</v>
      </c>
    </row>
    <row r="24" spans="1:16" x14ac:dyDescent="0.25">
      <c r="A24" t="s">
        <v>80</v>
      </c>
      <c r="B24" s="1">
        <v>41998</v>
      </c>
      <c r="C24">
        <v>2014</v>
      </c>
      <c r="D24" t="s">
        <v>17</v>
      </c>
      <c r="E24" t="s">
        <v>54</v>
      </c>
      <c r="F24" t="s">
        <v>38</v>
      </c>
      <c r="G24" t="s">
        <v>20</v>
      </c>
      <c r="H24">
        <v>92.97</v>
      </c>
      <c r="I24">
        <v>614.94000000000005</v>
      </c>
      <c r="J24">
        <v>6614.41</v>
      </c>
      <c r="K24" t="s">
        <v>21</v>
      </c>
      <c r="L24" t="s">
        <v>47</v>
      </c>
      <c r="M24">
        <v>164.57</v>
      </c>
      <c r="N24">
        <v>1198.45</v>
      </c>
      <c r="O24" t="s">
        <v>23</v>
      </c>
      <c r="P24">
        <v>21.1</v>
      </c>
    </row>
    <row r="25" spans="1:16" x14ac:dyDescent="0.25">
      <c r="A25" t="s">
        <v>81</v>
      </c>
      <c r="B25" s="1">
        <v>42297</v>
      </c>
      <c r="C25">
        <v>2015</v>
      </c>
      <c r="D25" t="s">
        <v>31</v>
      </c>
      <c r="E25" t="s">
        <v>82</v>
      </c>
      <c r="F25" t="s">
        <v>33</v>
      </c>
      <c r="G25" t="s">
        <v>56</v>
      </c>
      <c r="H25">
        <v>37.58</v>
      </c>
      <c r="I25">
        <v>73.150000000000006</v>
      </c>
      <c r="J25">
        <v>1946.48</v>
      </c>
      <c r="K25" t="s">
        <v>34</v>
      </c>
      <c r="L25" t="s">
        <v>49</v>
      </c>
      <c r="M25">
        <v>202.92</v>
      </c>
      <c r="N25">
        <v>1187.23</v>
      </c>
      <c r="O25" t="s">
        <v>61</v>
      </c>
      <c r="P25">
        <v>20.12</v>
      </c>
    </row>
    <row r="26" spans="1:16" x14ac:dyDescent="0.25">
      <c r="A26" t="s">
        <v>83</v>
      </c>
      <c r="B26" s="1">
        <v>41281</v>
      </c>
      <c r="C26">
        <v>2012</v>
      </c>
      <c r="D26" t="s">
        <v>17</v>
      </c>
      <c r="E26" t="s">
        <v>18</v>
      </c>
      <c r="F26" t="s">
        <v>38</v>
      </c>
      <c r="G26" t="s">
        <v>64</v>
      </c>
      <c r="H26">
        <v>89.08</v>
      </c>
      <c r="I26">
        <v>485.89</v>
      </c>
      <c r="J26">
        <v>5454.5</v>
      </c>
      <c r="K26" t="s">
        <v>40</v>
      </c>
      <c r="L26" t="s">
        <v>47</v>
      </c>
      <c r="M26">
        <v>118.09</v>
      </c>
      <c r="N26">
        <v>804.83</v>
      </c>
      <c r="O26" t="s">
        <v>70</v>
      </c>
      <c r="P26">
        <v>23.05</v>
      </c>
    </row>
    <row r="27" spans="1:16" x14ac:dyDescent="0.25">
      <c r="A27" t="s">
        <v>84</v>
      </c>
      <c r="B27" s="1">
        <v>40443</v>
      </c>
      <c r="C27">
        <v>2010</v>
      </c>
      <c r="D27" t="s">
        <v>36</v>
      </c>
      <c r="E27" t="s">
        <v>51</v>
      </c>
      <c r="F27" t="s">
        <v>33</v>
      </c>
      <c r="G27" t="s">
        <v>39</v>
      </c>
      <c r="H27">
        <v>42.93</v>
      </c>
      <c r="I27">
        <v>114.2</v>
      </c>
      <c r="J27">
        <v>2660.08</v>
      </c>
      <c r="K27" t="s">
        <v>21</v>
      </c>
      <c r="L27" t="s">
        <v>47</v>
      </c>
      <c r="M27">
        <v>133.38999999999999</v>
      </c>
      <c r="N27">
        <v>330.82</v>
      </c>
      <c r="O27" t="s">
        <v>70</v>
      </c>
      <c r="P27">
        <v>22.42</v>
      </c>
    </row>
    <row r="28" spans="1:16" x14ac:dyDescent="0.25">
      <c r="A28" t="s">
        <v>85</v>
      </c>
      <c r="B28" s="1">
        <v>43362</v>
      </c>
      <c r="C28">
        <v>2018</v>
      </c>
      <c r="D28" t="s">
        <v>17</v>
      </c>
      <c r="E28" t="s">
        <v>72</v>
      </c>
      <c r="F28" t="s">
        <v>33</v>
      </c>
      <c r="G28" t="s">
        <v>64</v>
      </c>
      <c r="H28">
        <v>8.4499999999999993</v>
      </c>
      <c r="I28">
        <v>53.22</v>
      </c>
      <c r="J28">
        <v>6298.64</v>
      </c>
      <c r="K28" t="s">
        <v>40</v>
      </c>
      <c r="L28" t="s">
        <v>41</v>
      </c>
      <c r="M28">
        <v>186.4</v>
      </c>
      <c r="N28">
        <v>1034.5999999999999</v>
      </c>
      <c r="O28" t="s">
        <v>61</v>
      </c>
      <c r="P28">
        <v>28.29</v>
      </c>
    </row>
    <row r="29" spans="1:16" x14ac:dyDescent="0.25">
      <c r="A29" t="s">
        <v>86</v>
      </c>
      <c r="B29" s="1">
        <v>42195</v>
      </c>
      <c r="C29">
        <v>2015</v>
      </c>
      <c r="D29" t="s">
        <v>25</v>
      </c>
      <c r="E29" t="s">
        <v>87</v>
      </c>
      <c r="F29" t="s">
        <v>33</v>
      </c>
      <c r="G29" t="s">
        <v>20</v>
      </c>
      <c r="H29">
        <v>21.8</v>
      </c>
      <c r="I29">
        <v>54.44</v>
      </c>
      <c r="J29">
        <v>2497.1799999999998</v>
      </c>
      <c r="K29" t="s">
        <v>21</v>
      </c>
      <c r="L29" t="s">
        <v>41</v>
      </c>
      <c r="M29">
        <v>138.41999999999999</v>
      </c>
      <c r="N29">
        <v>759.88</v>
      </c>
      <c r="O29" t="s">
        <v>52</v>
      </c>
      <c r="P29">
        <v>34.61</v>
      </c>
    </row>
    <row r="30" spans="1:16" x14ac:dyDescent="0.25">
      <c r="A30" t="s">
        <v>88</v>
      </c>
      <c r="B30" s="1">
        <v>44740</v>
      </c>
      <c r="C30">
        <v>2022</v>
      </c>
      <c r="D30" t="s">
        <v>44</v>
      </c>
      <c r="E30" t="s">
        <v>45</v>
      </c>
      <c r="F30" t="s">
        <v>33</v>
      </c>
      <c r="G30" t="s">
        <v>46</v>
      </c>
      <c r="H30">
        <v>3.45</v>
      </c>
      <c r="I30">
        <v>18.7</v>
      </c>
      <c r="J30">
        <v>5419.39</v>
      </c>
      <c r="K30" t="s">
        <v>34</v>
      </c>
      <c r="L30" t="s">
        <v>29</v>
      </c>
      <c r="M30">
        <v>245.6</v>
      </c>
      <c r="N30">
        <v>611.71</v>
      </c>
      <c r="O30" t="s">
        <v>42</v>
      </c>
      <c r="P30">
        <v>24</v>
      </c>
    </row>
    <row r="31" spans="1:16" x14ac:dyDescent="0.25">
      <c r="A31" t="s">
        <v>89</v>
      </c>
      <c r="B31" s="1">
        <v>42936</v>
      </c>
      <c r="C31">
        <v>2017</v>
      </c>
      <c r="D31" t="s">
        <v>44</v>
      </c>
      <c r="E31" t="s">
        <v>45</v>
      </c>
      <c r="F31" t="s">
        <v>33</v>
      </c>
      <c r="G31" t="s">
        <v>56</v>
      </c>
      <c r="H31">
        <v>81.84</v>
      </c>
      <c r="I31">
        <v>307.87</v>
      </c>
      <c r="J31">
        <v>3761.82</v>
      </c>
      <c r="K31" t="s">
        <v>34</v>
      </c>
      <c r="L31" t="s">
        <v>29</v>
      </c>
      <c r="M31">
        <v>255.13</v>
      </c>
      <c r="N31">
        <v>1071.32</v>
      </c>
      <c r="O31" t="s">
        <v>42</v>
      </c>
      <c r="P31">
        <v>20.350000000000001</v>
      </c>
    </row>
    <row r="32" spans="1:16" x14ac:dyDescent="0.25">
      <c r="A32" t="s">
        <v>90</v>
      </c>
      <c r="B32" s="1">
        <v>40915</v>
      </c>
      <c r="C32">
        <v>2011</v>
      </c>
      <c r="D32" t="s">
        <v>31</v>
      </c>
      <c r="E32" t="s">
        <v>32</v>
      </c>
      <c r="F32" t="s">
        <v>38</v>
      </c>
      <c r="G32" t="s">
        <v>20</v>
      </c>
      <c r="H32">
        <v>64.510000000000005</v>
      </c>
      <c r="I32">
        <v>219.21</v>
      </c>
      <c r="J32">
        <v>3398.07</v>
      </c>
      <c r="K32" t="s">
        <v>34</v>
      </c>
      <c r="L32" t="s">
        <v>22</v>
      </c>
      <c r="M32">
        <v>284.81</v>
      </c>
      <c r="N32">
        <v>315.33999999999997</v>
      </c>
      <c r="O32" t="s">
        <v>70</v>
      </c>
      <c r="P32">
        <v>22.68</v>
      </c>
    </row>
    <row r="33" spans="1:16" x14ac:dyDescent="0.25">
      <c r="A33" t="s">
        <v>91</v>
      </c>
      <c r="B33" s="1">
        <v>42786</v>
      </c>
      <c r="C33">
        <v>2016</v>
      </c>
      <c r="D33" t="s">
        <v>25</v>
      </c>
      <c r="E33" t="s">
        <v>69</v>
      </c>
      <c r="F33" t="s">
        <v>38</v>
      </c>
      <c r="G33" t="s">
        <v>39</v>
      </c>
      <c r="H33">
        <v>78.86</v>
      </c>
      <c r="I33">
        <v>285.33999999999997</v>
      </c>
      <c r="J33">
        <v>3618.36</v>
      </c>
      <c r="K33" t="s">
        <v>21</v>
      </c>
      <c r="L33" t="s">
        <v>22</v>
      </c>
      <c r="M33">
        <v>146.30000000000001</v>
      </c>
      <c r="N33">
        <v>776.59</v>
      </c>
      <c r="O33" t="s">
        <v>70</v>
      </c>
      <c r="P33">
        <v>20.67</v>
      </c>
    </row>
    <row r="34" spans="1:16" x14ac:dyDescent="0.25">
      <c r="A34" t="s">
        <v>92</v>
      </c>
      <c r="B34" s="1">
        <v>43964</v>
      </c>
      <c r="C34">
        <v>2020</v>
      </c>
      <c r="D34" t="s">
        <v>59</v>
      </c>
      <c r="E34" t="s">
        <v>93</v>
      </c>
      <c r="F34" t="s">
        <v>19</v>
      </c>
      <c r="G34" t="s">
        <v>39</v>
      </c>
      <c r="H34">
        <v>73.97</v>
      </c>
      <c r="I34">
        <v>161.41999999999999</v>
      </c>
      <c r="J34">
        <v>2182.21</v>
      </c>
      <c r="K34" t="s">
        <v>28</v>
      </c>
      <c r="L34" t="s">
        <v>22</v>
      </c>
      <c r="M34">
        <v>67.489999999999995</v>
      </c>
      <c r="N34">
        <v>864.24</v>
      </c>
      <c r="O34" t="s">
        <v>70</v>
      </c>
      <c r="P34">
        <v>29.35</v>
      </c>
    </row>
    <row r="35" spans="1:16" x14ac:dyDescent="0.25">
      <c r="A35" t="s">
        <v>94</v>
      </c>
      <c r="B35" s="1">
        <v>43449</v>
      </c>
      <c r="C35">
        <v>2018</v>
      </c>
      <c r="D35" t="s">
        <v>17</v>
      </c>
      <c r="E35" t="s">
        <v>72</v>
      </c>
      <c r="F35" t="s">
        <v>38</v>
      </c>
      <c r="G35" t="s">
        <v>39</v>
      </c>
      <c r="H35">
        <v>41.43</v>
      </c>
      <c r="I35">
        <v>141.46</v>
      </c>
      <c r="J35">
        <v>3414.4</v>
      </c>
      <c r="K35" t="s">
        <v>34</v>
      </c>
      <c r="L35" t="s">
        <v>47</v>
      </c>
      <c r="M35">
        <v>188.6</v>
      </c>
      <c r="N35">
        <v>391.84</v>
      </c>
      <c r="O35" t="s">
        <v>52</v>
      </c>
      <c r="P35">
        <v>30.16</v>
      </c>
    </row>
    <row r="36" spans="1:16" x14ac:dyDescent="0.25">
      <c r="A36" t="s">
        <v>95</v>
      </c>
      <c r="B36" s="1">
        <v>42511</v>
      </c>
      <c r="C36">
        <v>2016</v>
      </c>
      <c r="D36" t="s">
        <v>59</v>
      </c>
      <c r="E36" t="s">
        <v>63</v>
      </c>
      <c r="F36" t="s">
        <v>19</v>
      </c>
      <c r="G36" t="s">
        <v>64</v>
      </c>
      <c r="H36">
        <v>31.08</v>
      </c>
      <c r="I36">
        <v>70.27</v>
      </c>
      <c r="J36">
        <v>2261.1</v>
      </c>
      <c r="K36" t="s">
        <v>34</v>
      </c>
      <c r="L36" t="s">
        <v>41</v>
      </c>
      <c r="M36">
        <v>166.25</v>
      </c>
      <c r="N36">
        <v>642.16</v>
      </c>
      <c r="O36" t="s">
        <v>42</v>
      </c>
      <c r="P36">
        <v>27.67</v>
      </c>
    </row>
    <row r="37" spans="1:16" x14ac:dyDescent="0.25">
      <c r="A37" t="s">
        <v>96</v>
      </c>
      <c r="B37" s="1">
        <v>41732</v>
      </c>
      <c r="C37">
        <v>2014</v>
      </c>
      <c r="D37" t="s">
        <v>17</v>
      </c>
      <c r="E37" t="s">
        <v>18</v>
      </c>
      <c r="F37" t="s">
        <v>19</v>
      </c>
      <c r="G37" t="s">
        <v>39</v>
      </c>
      <c r="H37">
        <v>63.66</v>
      </c>
      <c r="I37">
        <v>191.69</v>
      </c>
      <c r="J37">
        <v>3011.13</v>
      </c>
      <c r="K37" t="s">
        <v>40</v>
      </c>
      <c r="L37" t="s">
        <v>41</v>
      </c>
      <c r="M37">
        <v>218.2</v>
      </c>
      <c r="N37">
        <v>424.64</v>
      </c>
      <c r="O37" t="s">
        <v>42</v>
      </c>
      <c r="P37">
        <v>22.21</v>
      </c>
    </row>
    <row r="38" spans="1:16" x14ac:dyDescent="0.25">
      <c r="A38" t="s">
        <v>97</v>
      </c>
      <c r="B38" s="1">
        <v>44714</v>
      </c>
      <c r="C38">
        <v>2022</v>
      </c>
      <c r="D38" t="s">
        <v>36</v>
      </c>
      <c r="E38" t="s">
        <v>77</v>
      </c>
      <c r="F38" t="s">
        <v>33</v>
      </c>
      <c r="G38" t="s">
        <v>46</v>
      </c>
      <c r="H38">
        <v>42.03</v>
      </c>
      <c r="I38">
        <v>200.84</v>
      </c>
      <c r="J38">
        <v>4778.59</v>
      </c>
      <c r="K38" t="s">
        <v>40</v>
      </c>
      <c r="L38" t="s">
        <v>22</v>
      </c>
      <c r="M38">
        <v>229.59</v>
      </c>
      <c r="N38">
        <v>583.98</v>
      </c>
      <c r="O38" t="s">
        <v>52</v>
      </c>
      <c r="P38">
        <v>23.66</v>
      </c>
    </row>
    <row r="39" spans="1:16" x14ac:dyDescent="0.25">
      <c r="A39" t="s">
        <v>98</v>
      </c>
      <c r="B39" s="1">
        <v>41561</v>
      </c>
      <c r="C39">
        <v>2013</v>
      </c>
      <c r="D39" t="s">
        <v>44</v>
      </c>
      <c r="E39" t="s">
        <v>99</v>
      </c>
      <c r="F39" t="s">
        <v>33</v>
      </c>
      <c r="G39" t="s">
        <v>39</v>
      </c>
      <c r="H39">
        <v>52.28</v>
      </c>
      <c r="I39">
        <v>68.03</v>
      </c>
      <c r="J39">
        <v>1301.31</v>
      </c>
      <c r="K39" t="s">
        <v>40</v>
      </c>
      <c r="L39" t="s">
        <v>47</v>
      </c>
      <c r="M39">
        <v>279.37</v>
      </c>
      <c r="N39">
        <v>321.36</v>
      </c>
      <c r="O39" t="s">
        <v>42</v>
      </c>
      <c r="P39">
        <v>32.020000000000003</v>
      </c>
    </row>
    <row r="40" spans="1:16" x14ac:dyDescent="0.25">
      <c r="A40" t="s">
        <v>100</v>
      </c>
      <c r="B40" s="1">
        <v>44987</v>
      </c>
      <c r="C40">
        <v>2022</v>
      </c>
      <c r="D40" t="s">
        <v>59</v>
      </c>
      <c r="E40" t="s">
        <v>63</v>
      </c>
      <c r="F40" t="s">
        <v>38</v>
      </c>
      <c r="G40" t="s">
        <v>27</v>
      </c>
      <c r="H40">
        <v>81.69</v>
      </c>
      <c r="I40">
        <v>518.9</v>
      </c>
      <c r="J40">
        <v>6352.12</v>
      </c>
      <c r="K40" t="s">
        <v>28</v>
      </c>
      <c r="L40" t="s">
        <v>29</v>
      </c>
      <c r="M40">
        <v>257.64</v>
      </c>
      <c r="N40">
        <v>747.87</v>
      </c>
      <c r="O40" t="s">
        <v>42</v>
      </c>
      <c r="P40">
        <v>31.15</v>
      </c>
    </row>
    <row r="41" spans="1:16" x14ac:dyDescent="0.25">
      <c r="A41" t="s">
        <v>101</v>
      </c>
      <c r="B41" s="1">
        <v>44274</v>
      </c>
      <c r="C41">
        <v>2020</v>
      </c>
      <c r="D41" t="s">
        <v>31</v>
      </c>
      <c r="E41" t="s">
        <v>82</v>
      </c>
      <c r="F41" t="s">
        <v>38</v>
      </c>
      <c r="G41" t="s">
        <v>27</v>
      </c>
      <c r="H41">
        <v>48.98</v>
      </c>
      <c r="I41">
        <v>119.29</v>
      </c>
      <c r="J41">
        <v>2435.48</v>
      </c>
      <c r="K41" t="s">
        <v>28</v>
      </c>
      <c r="L41" t="s">
        <v>22</v>
      </c>
      <c r="M41">
        <v>69.37</v>
      </c>
      <c r="N41">
        <v>485.73</v>
      </c>
      <c r="O41" t="s">
        <v>70</v>
      </c>
      <c r="P41">
        <v>25.04</v>
      </c>
    </row>
    <row r="42" spans="1:16" x14ac:dyDescent="0.25">
      <c r="A42" t="s">
        <v>102</v>
      </c>
      <c r="B42" s="1">
        <v>41686</v>
      </c>
      <c r="C42">
        <v>2013</v>
      </c>
      <c r="D42" t="s">
        <v>103</v>
      </c>
      <c r="E42" t="s">
        <v>104</v>
      </c>
      <c r="F42" t="s">
        <v>38</v>
      </c>
      <c r="G42" t="s">
        <v>39</v>
      </c>
      <c r="H42">
        <v>16.13</v>
      </c>
      <c r="I42">
        <v>36.840000000000003</v>
      </c>
      <c r="J42">
        <v>2283.7199999999998</v>
      </c>
      <c r="K42" t="s">
        <v>28</v>
      </c>
      <c r="L42" t="s">
        <v>29</v>
      </c>
      <c r="M42">
        <v>151.9</v>
      </c>
      <c r="N42">
        <v>742.61</v>
      </c>
      <c r="O42" t="s">
        <v>52</v>
      </c>
      <c r="P42">
        <v>20.93</v>
      </c>
    </row>
    <row r="43" spans="1:16" x14ac:dyDescent="0.25">
      <c r="A43" t="s">
        <v>105</v>
      </c>
      <c r="B43" s="1">
        <v>44487</v>
      </c>
      <c r="C43">
        <v>2021</v>
      </c>
      <c r="D43" t="s">
        <v>44</v>
      </c>
      <c r="E43" t="s">
        <v>67</v>
      </c>
      <c r="F43" t="s">
        <v>33</v>
      </c>
      <c r="G43" t="s">
        <v>27</v>
      </c>
      <c r="H43">
        <v>38.659999999999997</v>
      </c>
      <c r="I43">
        <v>40.03</v>
      </c>
      <c r="J43">
        <v>1035.3800000000001</v>
      </c>
      <c r="K43" t="s">
        <v>34</v>
      </c>
      <c r="L43" t="s">
        <v>47</v>
      </c>
      <c r="M43">
        <v>124.65</v>
      </c>
      <c r="N43">
        <v>589.99</v>
      </c>
      <c r="O43" t="s">
        <v>52</v>
      </c>
      <c r="P43">
        <v>28.07</v>
      </c>
    </row>
    <row r="44" spans="1:16" x14ac:dyDescent="0.25">
      <c r="A44" t="s">
        <v>106</v>
      </c>
      <c r="B44" s="1">
        <v>41715</v>
      </c>
      <c r="C44">
        <v>2013</v>
      </c>
      <c r="D44" t="s">
        <v>103</v>
      </c>
      <c r="E44" t="s">
        <v>107</v>
      </c>
      <c r="F44" t="s">
        <v>38</v>
      </c>
      <c r="G44" t="s">
        <v>46</v>
      </c>
      <c r="H44">
        <v>49.08</v>
      </c>
      <c r="I44">
        <v>163.59</v>
      </c>
      <c r="J44">
        <v>3333.14</v>
      </c>
      <c r="K44" t="s">
        <v>28</v>
      </c>
      <c r="L44" t="s">
        <v>22</v>
      </c>
      <c r="M44">
        <v>231.05</v>
      </c>
      <c r="N44">
        <v>1040.51</v>
      </c>
      <c r="O44" t="s">
        <v>42</v>
      </c>
      <c r="P44">
        <v>34.71</v>
      </c>
    </row>
    <row r="45" spans="1:16" x14ac:dyDescent="0.25">
      <c r="A45" t="s">
        <v>108</v>
      </c>
      <c r="B45" s="1">
        <v>43576</v>
      </c>
      <c r="C45">
        <v>2019</v>
      </c>
      <c r="D45" t="s">
        <v>36</v>
      </c>
      <c r="E45" t="s">
        <v>77</v>
      </c>
      <c r="F45" t="s">
        <v>19</v>
      </c>
      <c r="G45" t="s">
        <v>64</v>
      </c>
      <c r="H45">
        <v>9.31</v>
      </c>
      <c r="I45">
        <v>33.25</v>
      </c>
      <c r="J45">
        <v>3571.68</v>
      </c>
      <c r="K45" t="s">
        <v>28</v>
      </c>
      <c r="L45" t="s">
        <v>49</v>
      </c>
      <c r="M45">
        <v>95.43</v>
      </c>
      <c r="N45">
        <v>460.16</v>
      </c>
      <c r="O45" t="s">
        <v>70</v>
      </c>
      <c r="P45">
        <v>23.17</v>
      </c>
    </row>
    <row r="46" spans="1:16" x14ac:dyDescent="0.25">
      <c r="A46" t="s">
        <v>109</v>
      </c>
      <c r="B46" s="1">
        <v>41954</v>
      </c>
      <c r="C46">
        <v>2014</v>
      </c>
      <c r="D46" t="s">
        <v>44</v>
      </c>
      <c r="E46" t="s">
        <v>99</v>
      </c>
      <c r="F46" t="s">
        <v>38</v>
      </c>
      <c r="G46" t="s">
        <v>20</v>
      </c>
      <c r="H46">
        <v>83.66</v>
      </c>
      <c r="I46">
        <v>319.74</v>
      </c>
      <c r="J46">
        <v>3821.84</v>
      </c>
      <c r="K46" t="s">
        <v>21</v>
      </c>
      <c r="L46" t="s">
        <v>22</v>
      </c>
      <c r="M46">
        <v>299.98</v>
      </c>
      <c r="N46">
        <v>549.96</v>
      </c>
      <c r="O46" t="s">
        <v>23</v>
      </c>
      <c r="P46">
        <v>31.72</v>
      </c>
    </row>
    <row r="47" spans="1:16" x14ac:dyDescent="0.25">
      <c r="A47" t="s">
        <v>110</v>
      </c>
      <c r="B47" s="1">
        <v>40279</v>
      </c>
      <c r="C47">
        <v>2010</v>
      </c>
      <c r="D47" t="s">
        <v>103</v>
      </c>
      <c r="E47" t="s">
        <v>104</v>
      </c>
      <c r="F47" t="s">
        <v>19</v>
      </c>
      <c r="G47" t="s">
        <v>56</v>
      </c>
      <c r="H47">
        <v>24.62</v>
      </c>
      <c r="I47">
        <v>94.57</v>
      </c>
      <c r="J47">
        <v>3841.37</v>
      </c>
      <c r="K47" t="s">
        <v>21</v>
      </c>
      <c r="L47" t="s">
        <v>47</v>
      </c>
      <c r="M47">
        <v>190.99</v>
      </c>
      <c r="N47">
        <v>417.96</v>
      </c>
      <c r="O47" t="s">
        <v>70</v>
      </c>
      <c r="P47">
        <v>31.5</v>
      </c>
    </row>
    <row r="48" spans="1:16" x14ac:dyDescent="0.25">
      <c r="A48" t="s">
        <v>111</v>
      </c>
      <c r="B48" s="1">
        <v>44398</v>
      </c>
      <c r="C48">
        <v>2021</v>
      </c>
      <c r="D48" t="s">
        <v>59</v>
      </c>
      <c r="E48" t="s">
        <v>93</v>
      </c>
      <c r="F48" t="s">
        <v>33</v>
      </c>
      <c r="G48" t="s">
        <v>56</v>
      </c>
      <c r="H48">
        <v>96.51</v>
      </c>
      <c r="I48">
        <v>159.11000000000001</v>
      </c>
      <c r="J48">
        <v>1648.59</v>
      </c>
      <c r="K48" t="s">
        <v>21</v>
      </c>
      <c r="L48" t="s">
        <v>22</v>
      </c>
      <c r="M48">
        <v>282.22000000000003</v>
      </c>
      <c r="N48">
        <v>775.8</v>
      </c>
      <c r="O48" t="s">
        <v>52</v>
      </c>
      <c r="P48">
        <v>25.95</v>
      </c>
    </row>
    <row r="49" spans="1:16" x14ac:dyDescent="0.25">
      <c r="A49" t="s">
        <v>112</v>
      </c>
      <c r="B49" s="1">
        <v>44092</v>
      </c>
      <c r="C49">
        <v>2020</v>
      </c>
      <c r="D49" t="s">
        <v>59</v>
      </c>
      <c r="E49" t="s">
        <v>93</v>
      </c>
      <c r="F49" t="s">
        <v>33</v>
      </c>
      <c r="G49" t="s">
        <v>64</v>
      </c>
      <c r="H49">
        <v>70.02</v>
      </c>
      <c r="I49">
        <v>196.72</v>
      </c>
      <c r="J49">
        <v>2809.5</v>
      </c>
      <c r="K49" t="s">
        <v>21</v>
      </c>
      <c r="L49" t="s">
        <v>49</v>
      </c>
      <c r="M49">
        <v>249.06</v>
      </c>
      <c r="N49">
        <v>765.93</v>
      </c>
      <c r="O49" t="s">
        <v>23</v>
      </c>
      <c r="P49">
        <v>25.21</v>
      </c>
    </row>
    <row r="50" spans="1:16" x14ac:dyDescent="0.25">
      <c r="A50" t="s">
        <v>113</v>
      </c>
      <c r="B50" s="1">
        <v>44247</v>
      </c>
      <c r="C50">
        <v>2020</v>
      </c>
      <c r="D50" t="s">
        <v>25</v>
      </c>
      <c r="E50" t="s">
        <v>69</v>
      </c>
      <c r="F50" t="s">
        <v>38</v>
      </c>
      <c r="G50" t="s">
        <v>64</v>
      </c>
      <c r="H50">
        <v>85.11</v>
      </c>
      <c r="I50">
        <v>505.04</v>
      </c>
      <c r="J50">
        <v>5933.99</v>
      </c>
      <c r="K50" t="s">
        <v>21</v>
      </c>
      <c r="L50" t="s">
        <v>41</v>
      </c>
      <c r="M50">
        <v>158.38</v>
      </c>
      <c r="N50">
        <v>562.19000000000005</v>
      </c>
      <c r="O50" t="s">
        <v>52</v>
      </c>
      <c r="P50">
        <v>30.61</v>
      </c>
    </row>
    <row r="51" spans="1:16" x14ac:dyDescent="0.25">
      <c r="A51" t="s">
        <v>114</v>
      </c>
      <c r="B51" s="1">
        <v>44198</v>
      </c>
      <c r="C51">
        <v>2020</v>
      </c>
      <c r="D51" t="s">
        <v>17</v>
      </c>
      <c r="E51" t="s">
        <v>54</v>
      </c>
      <c r="F51" t="s">
        <v>38</v>
      </c>
      <c r="G51" t="s">
        <v>27</v>
      </c>
      <c r="H51">
        <v>81.010000000000005</v>
      </c>
      <c r="I51">
        <v>342.59</v>
      </c>
      <c r="J51">
        <v>4229.04</v>
      </c>
      <c r="K51" t="s">
        <v>28</v>
      </c>
      <c r="L51" t="s">
        <v>22</v>
      </c>
      <c r="M51">
        <v>166.22</v>
      </c>
      <c r="N51">
        <v>1025.73</v>
      </c>
      <c r="O51" t="s">
        <v>61</v>
      </c>
      <c r="P51">
        <v>24.03</v>
      </c>
    </row>
    <row r="52" spans="1:16" x14ac:dyDescent="0.25">
      <c r="A52" t="s">
        <v>115</v>
      </c>
      <c r="B52" s="1">
        <v>41645</v>
      </c>
      <c r="C52">
        <v>2013</v>
      </c>
      <c r="D52" t="s">
        <v>31</v>
      </c>
      <c r="E52" t="s">
        <v>32</v>
      </c>
      <c r="F52" t="s">
        <v>38</v>
      </c>
      <c r="G52" t="s">
        <v>27</v>
      </c>
      <c r="H52">
        <v>61.42</v>
      </c>
      <c r="I52">
        <v>201.09</v>
      </c>
      <c r="J52">
        <v>3273.94</v>
      </c>
      <c r="K52" t="s">
        <v>21</v>
      </c>
      <c r="L52" t="s">
        <v>49</v>
      </c>
      <c r="M52">
        <v>173.58</v>
      </c>
      <c r="N52">
        <v>525.01</v>
      </c>
      <c r="O52" t="s">
        <v>52</v>
      </c>
      <c r="P52">
        <v>23.18</v>
      </c>
    </row>
    <row r="53" spans="1:16" x14ac:dyDescent="0.25">
      <c r="A53" t="s">
        <v>116</v>
      </c>
      <c r="B53" s="1">
        <v>44622</v>
      </c>
      <c r="C53">
        <v>2021</v>
      </c>
      <c r="D53" t="s">
        <v>31</v>
      </c>
      <c r="E53" t="s">
        <v>117</v>
      </c>
      <c r="F53" t="s">
        <v>38</v>
      </c>
      <c r="G53" t="s">
        <v>27</v>
      </c>
      <c r="H53">
        <v>2</v>
      </c>
      <c r="I53">
        <v>13.38</v>
      </c>
      <c r="J53">
        <v>6688.38</v>
      </c>
      <c r="K53" t="s">
        <v>21</v>
      </c>
      <c r="L53" t="s">
        <v>29</v>
      </c>
      <c r="M53">
        <v>110.34</v>
      </c>
      <c r="N53">
        <v>606.42999999999995</v>
      </c>
      <c r="O53" t="s">
        <v>61</v>
      </c>
      <c r="P53">
        <v>31.37</v>
      </c>
    </row>
    <row r="54" spans="1:16" x14ac:dyDescent="0.25">
      <c r="A54" t="s">
        <v>118</v>
      </c>
      <c r="B54" s="1">
        <v>40988</v>
      </c>
      <c r="C54">
        <v>2011</v>
      </c>
      <c r="D54" t="s">
        <v>36</v>
      </c>
      <c r="E54" t="s">
        <v>37</v>
      </c>
      <c r="F54" t="s">
        <v>38</v>
      </c>
      <c r="G54" t="s">
        <v>56</v>
      </c>
      <c r="H54">
        <v>41.04</v>
      </c>
      <c r="I54">
        <v>100.95</v>
      </c>
      <c r="J54">
        <v>2459.83</v>
      </c>
      <c r="K54" t="s">
        <v>34</v>
      </c>
      <c r="L54" t="s">
        <v>49</v>
      </c>
      <c r="M54">
        <v>168.32</v>
      </c>
      <c r="N54">
        <v>730.92</v>
      </c>
      <c r="O54" t="s">
        <v>52</v>
      </c>
      <c r="P54">
        <v>34.950000000000003</v>
      </c>
    </row>
    <row r="55" spans="1:16" x14ac:dyDescent="0.25">
      <c r="A55" t="s">
        <v>119</v>
      </c>
      <c r="B55" s="1">
        <v>43163</v>
      </c>
      <c r="C55">
        <v>2017</v>
      </c>
      <c r="D55" t="s">
        <v>31</v>
      </c>
      <c r="E55" t="s">
        <v>117</v>
      </c>
      <c r="F55" t="s">
        <v>38</v>
      </c>
      <c r="G55" t="s">
        <v>20</v>
      </c>
      <c r="H55">
        <v>25.89</v>
      </c>
      <c r="I55">
        <v>44.63</v>
      </c>
      <c r="J55">
        <v>1723.94</v>
      </c>
      <c r="K55" t="s">
        <v>40</v>
      </c>
      <c r="L55" t="s">
        <v>49</v>
      </c>
      <c r="M55">
        <v>128.88999999999999</v>
      </c>
      <c r="N55">
        <v>942.88</v>
      </c>
      <c r="O55" t="s">
        <v>42</v>
      </c>
      <c r="P55">
        <v>22.87</v>
      </c>
    </row>
    <row r="56" spans="1:16" x14ac:dyDescent="0.25">
      <c r="A56" t="s">
        <v>120</v>
      </c>
      <c r="B56" s="1">
        <v>44686</v>
      </c>
      <c r="C56">
        <v>2022</v>
      </c>
      <c r="D56" t="s">
        <v>17</v>
      </c>
      <c r="E56" t="s">
        <v>54</v>
      </c>
      <c r="F56" t="s">
        <v>19</v>
      </c>
      <c r="G56" t="s">
        <v>27</v>
      </c>
      <c r="H56">
        <v>29.02</v>
      </c>
      <c r="I56">
        <v>46.52</v>
      </c>
      <c r="J56">
        <v>1603.16</v>
      </c>
      <c r="K56" t="s">
        <v>40</v>
      </c>
      <c r="L56" t="s">
        <v>41</v>
      </c>
      <c r="M56">
        <v>124.06</v>
      </c>
      <c r="N56">
        <v>560.88</v>
      </c>
      <c r="O56" t="s">
        <v>70</v>
      </c>
      <c r="P56">
        <v>20.21</v>
      </c>
    </row>
    <row r="57" spans="1:16" x14ac:dyDescent="0.25">
      <c r="A57" t="s">
        <v>121</v>
      </c>
      <c r="B57" s="1">
        <v>40297</v>
      </c>
      <c r="C57">
        <v>2010</v>
      </c>
      <c r="D57" t="s">
        <v>31</v>
      </c>
      <c r="E57" t="s">
        <v>82</v>
      </c>
      <c r="F57" t="s">
        <v>19</v>
      </c>
      <c r="G57" t="s">
        <v>20</v>
      </c>
      <c r="H57">
        <v>70.040000000000006</v>
      </c>
      <c r="I57">
        <v>123.11</v>
      </c>
      <c r="J57">
        <v>1757.68</v>
      </c>
      <c r="K57" t="s">
        <v>28</v>
      </c>
      <c r="L57" t="s">
        <v>49</v>
      </c>
      <c r="M57">
        <v>75.650000000000006</v>
      </c>
      <c r="N57">
        <v>212.27</v>
      </c>
      <c r="O57" t="s">
        <v>70</v>
      </c>
      <c r="P57">
        <v>27.04</v>
      </c>
    </row>
    <row r="58" spans="1:16" x14ac:dyDescent="0.25">
      <c r="A58" t="s">
        <v>122</v>
      </c>
      <c r="B58" s="1">
        <v>42088</v>
      </c>
      <c r="C58">
        <v>2014</v>
      </c>
      <c r="D58" t="s">
        <v>103</v>
      </c>
      <c r="E58" t="s">
        <v>104</v>
      </c>
      <c r="F58" t="s">
        <v>38</v>
      </c>
      <c r="G58" t="s">
        <v>64</v>
      </c>
      <c r="H58">
        <v>82.39</v>
      </c>
      <c r="I58">
        <v>280.48</v>
      </c>
      <c r="J58">
        <v>3404.24</v>
      </c>
      <c r="K58" t="s">
        <v>21</v>
      </c>
      <c r="L58" t="s">
        <v>49</v>
      </c>
      <c r="M58">
        <v>194.26</v>
      </c>
      <c r="N58">
        <v>886.45</v>
      </c>
      <c r="O58" t="s">
        <v>42</v>
      </c>
      <c r="P58">
        <v>22.24</v>
      </c>
    </row>
    <row r="59" spans="1:16" x14ac:dyDescent="0.25">
      <c r="A59" t="s">
        <v>123</v>
      </c>
      <c r="B59" s="1">
        <v>40671</v>
      </c>
      <c r="C59">
        <v>2011</v>
      </c>
      <c r="D59" t="s">
        <v>25</v>
      </c>
      <c r="E59" t="s">
        <v>26</v>
      </c>
      <c r="F59" t="s">
        <v>19</v>
      </c>
      <c r="G59" t="s">
        <v>46</v>
      </c>
      <c r="H59">
        <v>61.03</v>
      </c>
      <c r="I59">
        <v>350.58</v>
      </c>
      <c r="J59">
        <v>5744.44</v>
      </c>
      <c r="K59" t="s">
        <v>40</v>
      </c>
      <c r="L59" t="s">
        <v>29</v>
      </c>
      <c r="M59">
        <v>243.92</v>
      </c>
      <c r="N59">
        <v>580.38</v>
      </c>
      <c r="O59" t="s">
        <v>52</v>
      </c>
      <c r="P59">
        <v>24.46</v>
      </c>
    </row>
    <row r="60" spans="1:16" x14ac:dyDescent="0.25">
      <c r="A60" t="s">
        <v>124</v>
      </c>
      <c r="B60" s="1">
        <v>43661</v>
      </c>
      <c r="C60">
        <v>2019</v>
      </c>
      <c r="D60" t="s">
        <v>31</v>
      </c>
      <c r="E60" t="s">
        <v>117</v>
      </c>
      <c r="F60" t="s">
        <v>33</v>
      </c>
      <c r="G60" t="s">
        <v>27</v>
      </c>
      <c r="H60">
        <v>96.05</v>
      </c>
      <c r="I60">
        <v>153.24</v>
      </c>
      <c r="J60">
        <v>1595.4</v>
      </c>
      <c r="K60" t="s">
        <v>40</v>
      </c>
      <c r="L60" t="s">
        <v>47</v>
      </c>
      <c r="M60">
        <v>206.38</v>
      </c>
      <c r="N60">
        <v>464.65</v>
      </c>
      <c r="O60" t="s">
        <v>23</v>
      </c>
      <c r="P60">
        <v>22.36</v>
      </c>
    </row>
    <row r="61" spans="1:16" x14ac:dyDescent="0.25">
      <c r="A61" t="s">
        <v>125</v>
      </c>
      <c r="B61" s="1">
        <v>40542</v>
      </c>
      <c r="C61">
        <v>2010</v>
      </c>
      <c r="D61" t="s">
        <v>25</v>
      </c>
      <c r="E61" t="s">
        <v>26</v>
      </c>
      <c r="F61" t="s">
        <v>38</v>
      </c>
      <c r="G61" t="s">
        <v>46</v>
      </c>
      <c r="H61">
        <v>69.25</v>
      </c>
      <c r="I61">
        <v>264.5</v>
      </c>
      <c r="J61">
        <v>3819.47</v>
      </c>
      <c r="K61" t="s">
        <v>21</v>
      </c>
      <c r="L61" t="s">
        <v>49</v>
      </c>
      <c r="M61">
        <v>107.87</v>
      </c>
      <c r="N61">
        <v>906.96</v>
      </c>
      <c r="O61" t="s">
        <v>52</v>
      </c>
      <c r="P61">
        <v>21.07</v>
      </c>
    </row>
    <row r="62" spans="1:16" x14ac:dyDescent="0.25">
      <c r="A62" t="s">
        <v>126</v>
      </c>
      <c r="B62" s="1">
        <v>43606</v>
      </c>
      <c r="C62">
        <v>2019</v>
      </c>
      <c r="D62" t="s">
        <v>44</v>
      </c>
      <c r="E62" t="s">
        <v>67</v>
      </c>
      <c r="F62" t="s">
        <v>19</v>
      </c>
      <c r="G62" t="s">
        <v>56</v>
      </c>
      <c r="H62">
        <v>43.09</v>
      </c>
      <c r="I62">
        <v>183.88</v>
      </c>
      <c r="J62">
        <v>4267.37</v>
      </c>
      <c r="K62" t="s">
        <v>40</v>
      </c>
      <c r="L62" t="s">
        <v>49</v>
      </c>
      <c r="M62">
        <v>277.10000000000002</v>
      </c>
      <c r="N62">
        <v>1026.6300000000001</v>
      </c>
      <c r="O62" t="s">
        <v>23</v>
      </c>
      <c r="P62">
        <v>20.89</v>
      </c>
    </row>
    <row r="63" spans="1:16" x14ac:dyDescent="0.25">
      <c r="A63" t="s">
        <v>127</v>
      </c>
      <c r="B63" s="1">
        <v>43780</v>
      </c>
      <c r="C63">
        <v>2019</v>
      </c>
      <c r="D63" t="s">
        <v>59</v>
      </c>
      <c r="E63" t="s">
        <v>93</v>
      </c>
      <c r="F63" t="s">
        <v>38</v>
      </c>
      <c r="G63" t="s">
        <v>46</v>
      </c>
      <c r="H63">
        <v>13.31</v>
      </c>
      <c r="I63">
        <v>68.31</v>
      </c>
      <c r="J63">
        <v>5132.07</v>
      </c>
      <c r="K63" t="s">
        <v>28</v>
      </c>
      <c r="L63" t="s">
        <v>29</v>
      </c>
      <c r="M63">
        <v>285.67</v>
      </c>
      <c r="N63">
        <v>700.47</v>
      </c>
      <c r="O63" t="s">
        <v>52</v>
      </c>
      <c r="P63">
        <v>26.57</v>
      </c>
    </row>
    <row r="64" spans="1:16" x14ac:dyDescent="0.25">
      <c r="A64" t="s">
        <v>128</v>
      </c>
      <c r="B64" s="1">
        <v>43814</v>
      </c>
      <c r="C64">
        <v>2019</v>
      </c>
      <c r="D64" t="s">
        <v>17</v>
      </c>
      <c r="E64" t="s">
        <v>72</v>
      </c>
      <c r="F64" t="s">
        <v>38</v>
      </c>
      <c r="G64" t="s">
        <v>64</v>
      </c>
      <c r="H64">
        <v>10.039999999999999</v>
      </c>
      <c r="I64">
        <v>67.989999999999995</v>
      </c>
      <c r="J64">
        <v>6771.47</v>
      </c>
      <c r="K64" t="s">
        <v>21</v>
      </c>
      <c r="L64" t="s">
        <v>29</v>
      </c>
      <c r="M64">
        <v>299.89</v>
      </c>
      <c r="N64">
        <v>872.28</v>
      </c>
      <c r="O64" t="s">
        <v>70</v>
      </c>
      <c r="P64">
        <v>28.64</v>
      </c>
    </row>
    <row r="65" spans="1:16" x14ac:dyDescent="0.25">
      <c r="A65" t="s">
        <v>129</v>
      </c>
      <c r="B65" s="1">
        <v>43066</v>
      </c>
      <c r="C65">
        <v>2017</v>
      </c>
      <c r="D65" t="s">
        <v>59</v>
      </c>
      <c r="E65" t="s">
        <v>93</v>
      </c>
      <c r="F65" t="s">
        <v>38</v>
      </c>
      <c r="G65" t="s">
        <v>56</v>
      </c>
      <c r="H65">
        <v>99.7</v>
      </c>
      <c r="I65">
        <v>360.45</v>
      </c>
      <c r="J65">
        <v>3615.31</v>
      </c>
      <c r="K65" t="s">
        <v>28</v>
      </c>
      <c r="L65" t="s">
        <v>41</v>
      </c>
      <c r="M65">
        <v>292.26</v>
      </c>
      <c r="N65">
        <v>670.01</v>
      </c>
      <c r="O65" t="s">
        <v>52</v>
      </c>
      <c r="P65">
        <v>25</v>
      </c>
    </row>
    <row r="66" spans="1:16" x14ac:dyDescent="0.25">
      <c r="A66" t="s">
        <v>130</v>
      </c>
      <c r="B66" s="1">
        <v>44604</v>
      </c>
      <c r="C66">
        <v>2021</v>
      </c>
      <c r="D66" t="s">
        <v>31</v>
      </c>
      <c r="E66" t="s">
        <v>32</v>
      </c>
      <c r="F66" t="s">
        <v>38</v>
      </c>
      <c r="G66" t="s">
        <v>20</v>
      </c>
      <c r="H66">
        <v>66.599999999999994</v>
      </c>
      <c r="I66">
        <v>226.62</v>
      </c>
      <c r="J66">
        <v>3402.71</v>
      </c>
      <c r="K66" t="s">
        <v>21</v>
      </c>
      <c r="L66" t="s">
        <v>47</v>
      </c>
      <c r="M66">
        <v>163.71</v>
      </c>
      <c r="N66">
        <v>514.52</v>
      </c>
      <c r="O66" t="s">
        <v>70</v>
      </c>
      <c r="P66">
        <v>21.74</v>
      </c>
    </row>
    <row r="67" spans="1:16" x14ac:dyDescent="0.25">
      <c r="A67" t="s">
        <v>131</v>
      </c>
      <c r="B67" s="1">
        <v>43935</v>
      </c>
      <c r="C67">
        <v>2020</v>
      </c>
      <c r="D67" t="s">
        <v>44</v>
      </c>
      <c r="E67" t="s">
        <v>45</v>
      </c>
      <c r="F67" t="s">
        <v>19</v>
      </c>
      <c r="G67" t="s">
        <v>46</v>
      </c>
      <c r="H67">
        <v>41.91</v>
      </c>
      <c r="I67">
        <v>89.08</v>
      </c>
      <c r="J67">
        <v>2125.5</v>
      </c>
      <c r="K67" t="s">
        <v>34</v>
      </c>
      <c r="L67" t="s">
        <v>49</v>
      </c>
      <c r="M67">
        <v>205.66</v>
      </c>
      <c r="N67">
        <v>698.49</v>
      </c>
      <c r="O67" t="s">
        <v>52</v>
      </c>
      <c r="P67">
        <v>31.4</v>
      </c>
    </row>
    <row r="68" spans="1:16" x14ac:dyDescent="0.25">
      <c r="A68" t="s">
        <v>132</v>
      </c>
      <c r="B68" s="1">
        <v>41967</v>
      </c>
      <c r="C68">
        <v>2014</v>
      </c>
      <c r="D68" t="s">
        <v>59</v>
      </c>
      <c r="E68" t="s">
        <v>60</v>
      </c>
      <c r="F68" t="s">
        <v>38</v>
      </c>
      <c r="G68" t="s">
        <v>39</v>
      </c>
      <c r="H68">
        <v>48.99</v>
      </c>
      <c r="I68">
        <v>57.48</v>
      </c>
      <c r="J68">
        <v>1173.22</v>
      </c>
      <c r="K68" t="s">
        <v>40</v>
      </c>
      <c r="L68" t="s">
        <v>41</v>
      </c>
      <c r="M68">
        <v>227.45</v>
      </c>
      <c r="N68">
        <v>510.75</v>
      </c>
      <c r="O68" t="s">
        <v>23</v>
      </c>
      <c r="P68">
        <v>28.28</v>
      </c>
    </row>
    <row r="69" spans="1:16" x14ac:dyDescent="0.25">
      <c r="A69" t="s">
        <v>133</v>
      </c>
      <c r="B69" s="1">
        <v>42949</v>
      </c>
      <c r="C69">
        <v>2017</v>
      </c>
      <c r="D69" t="s">
        <v>44</v>
      </c>
      <c r="E69" t="s">
        <v>45</v>
      </c>
      <c r="F69" t="s">
        <v>33</v>
      </c>
      <c r="G69" t="s">
        <v>39</v>
      </c>
      <c r="H69">
        <v>83.38</v>
      </c>
      <c r="I69">
        <v>332.71</v>
      </c>
      <c r="J69">
        <v>3990.25</v>
      </c>
      <c r="K69" t="s">
        <v>34</v>
      </c>
      <c r="L69" t="s">
        <v>29</v>
      </c>
      <c r="M69">
        <v>177.22</v>
      </c>
      <c r="N69">
        <v>473.42</v>
      </c>
      <c r="O69" t="s">
        <v>52</v>
      </c>
      <c r="P69">
        <v>34.700000000000003</v>
      </c>
    </row>
    <row r="70" spans="1:16" x14ac:dyDescent="0.25">
      <c r="A70" t="s">
        <v>134</v>
      </c>
      <c r="B70" s="1">
        <v>42651</v>
      </c>
      <c r="C70">
        <v>2016</v>
      </c>
      <c r="D70" t="s">
        <v>59</v>
      </c>
      <c r="E70" t="s">
        <v>60</v>
      </c>
      <c r="F70" t="s">
        <v>33</v>
      </c>
      <c r="G70" t="s">
        <v>27</v>
      </c>
      <c r="H70">
        <v>51.32</v>
      </c>
      <c r="I70">
        <v>322.08</v>
      </c>
      <c r="J70">
        <v>6275.96</v>
      </c>
      <c r="K70" t="s">
        <v>21</v>
      </c>
      <c r="L70" t="s">
        <v>49</v>
      </c>
      <c r="M70">
        <v>119.06</v>
      </c>
      <c r="N70">
        <v>990.01</v>
      </c>
      <c r="O70" t="s">
        <v>52</v>
      </c>
      <c r="P70">
        <v>25.1</v>
      </c>
    </row>
    <row r="71" spans="1:16" x14ac:dyDescent="0.25">
      <c r="A71" t="s">
        <v>135</v>
      </c>
      <c r="B71" s="1">
        <v>41765</v>
      </c>
      <c r="C71">
        <v>2014</v>
      </c>
      <c r="D71" t="s">
        <v>44</v>
      </c>
      <c r="E71" t="s">
        <v>45</v>
      </c>
      <c r="F71" t="s">
        <v>19</v>
      </c>
      <c r="G71" t="s">
        <v>20</v>
      </c>
      <c r="H71">
        <v>83.91</v>
      </c>
      <c r="I71">
        <v>375.88</v>
      </c>
      <c r="J71">
        <v>4479.54</v>
      </c>
      <c r="K71" t="s">
        <v>28</v>
      </c>
      <c r="L71" t="s">
        <v>47</v>
      </c>
      <c r="M71">
        <v>266.32</v>
      </c>
      <c r="N71">
        <v>646.54999999999995</v>
      </c>
      <c r="O71" t="s">
        <v>52</v>
      </c>
      <c r="P71">
        <v>25.18</v>
      </c>
    </row>
    <row r="72" spans="1:16" x14ac:dyDescent="0.25">
      <c r="A72" t="s">
        <v>136</v>
      </c>
      <c r="B72" s="1">
        <v>42194</v>
      </c>
      <c r="C72">
        <v>2015</v>
      </c>
      <c r="D72" t="s">
        <v>36</v>
      </c>
      <c r="E72" t="s">
        <v>51</v>
      </c>
      <c r="F72" t="s">
        <v>33</v>
      </c>
      <c r="G72" t="s">
        <v>39</v>
      </c>
      <c r="H72">
        <v>24.64</v>
      </c>
      <c r="I72">
        <v>81.260000000000005</v>
      </c>
      <c r="J72">
        <v>3297.83</v>
      </c>
      <c r="K72" t="s">
        <v>28</v>
      </c>
      <c r="L72" t="s">
        <v>29</v>
      </c>
      <c r="M72">
        <v>60.91</v>
      </c>
      <c r="N72">
        <v>944.71</v>
      </c>
      <c r="O72" t="s">
        <v>52</v>
      </c>
      <c r="P72">
        <v>25.79</v>
      </c>
    </row>
    <row r="73" spans="1:16" x14ac:dyDescent="0.25">
      <c r="A73" t="s">
        <v>137</v>
      </c>
      <c r="B73" s="1">
        <v>43217</v>
      </c>
      <c r="C73">
        <v>2018</v>
      </c>
      <c r="D73" t="s">
        <v>25</v>
      </c>
      <c r="E73" t="s">
        <v>26</v>
      </c>
      <c r="F73" t="s">
        <v>19</v>
      </c>
      <c r="G73" t="s">
        <v>20</v>
      </c>
      <c r="H73">
        <v>87.1</v>
      </c>
      <c r="I73">
        <v>543.95000000000005</v>
      </c>
      <c r="J73">
        <v>6245.14</v>
      </c>
      <c r="K73" t="s">
        <v>28</v>
      </c>
      <c r="L73" t="s">
        <v>41</v>
      </c>
      <c r="M73">
        <v>74.930000000000007</v>
      </c>
      <c r="N73">
        <v>1110.44</v>
      </c>
      <c r="O73" t="s">
        <v>23</v>
      </c>
      <c r="P73">
        <v>30.84</v>
      </c>
    </row>
    <row r="74" spans="1:16" x14ac:dyDescent="0.25">
      <c r="A74" t="s">
        <v>138</v>
      </c>
      <c r="B74" s="1">
        <v>44947</v>
      </c>
      <c r="C74">
        <v>2022</v>
      </c>
      <c r="D74" t="s">
        <v>25</v>
      </c>
      <c r="E74" t="s">
        <v>87</v>
      </c>
      <c r="F74" t="s">
        <v>38</v>
      </c>
      <c r="G74" t="s">
        <v>20</v>
      </c>
      <c r="H74">
        <v>62.7</v>
      </c>
      <c r="I74">
        <v>212.23</v>
      </c>
      <c r="J74">
        <v>3384.9</v>
      </c>
      <c r="K74" t="s">
        <v>21</v>
      </c>
      <c r="L74" t="s">
        <v>29</v>
      </c>
      <c r="M74">
        <v>262.94</v>
      </c>
      <c r="N74">
        <v>1052.3399999999999</v>
      </c>
      <c r="O74" t="s">
        <v>61</v>
      </c>
      <c r="P74">
        <v>25.7</v>
      </c>
    </row>
    <row r="75" spans="1:16" x14ac:dyDescent="0.25">
      <c r="A75" t="s">
        <v>139</v>
      </c>
      <c r="B75" s="1">
        <v>40317</v>
      </c>
      <c r="C75">
        <v>2010</v>
      </c>
      <c r="D75" t="s">
        <v>44</v>
      </c>
      <c r="E75" t="s">
        <v>67</v>
      </c>
      <c r="F75" t="s">
        <v>19</v>
      </c>
      <c r="G75" t="s">
        <v>64</v>
      </c>
      <c r="H75">
        <v>24.24</v>
      </c>
      <c r="I75">
        <v>123.78</v>
      </c>
      <c r="J75">
        <v>5106.3999999999996</v>
      </c>
      <c r="K75" t="s">
        <v>34</v>
      </c>
      <c r="L75" t="s">
        <v>22</v>
      </c>
      <c r="M75">
        <v>299.36</v>
      </c>
      <c r="N75">
        <v>946.77</v>
      </c>
      <c r="O75" t="s">
        <v>52</v>
      </c>
      <c r="P75">
        <v>34.68</v>
      </c>
    </row>
    <row r="76" spans="1:16" x14ac:dyDescent="0.25">
      <c r="A76" t="s">
        <v>140</v>
      </c>
      <c r="B76" s="1">
        <v>44645</v>
      </c>
      <c r="C76">
        <v>2021</v>
      </c>
      <c r="D76" t="s">
        <v>36</v>
      </c>
      <c r="E76" t="s">
        <v>37</v>
      </c>
      <c r="F76" t="s">
        <v>38</v>
      </c>
      <c r="G76" t="s">
        <v>64</v>
      </c>
      <c r="H76">
        <v>5.55</v>
      </c>
      <c r="I76">
        <v>32.06</v>
      </c>
      <c r="J76">
        <v>5776.86</v>
      </c>
      <c r="K76" t="s">
        <v>34</v>
      </c>
      <c r="L76" t="s">
        <v>41</v>
      </c>
      <c r="M76">
        <v>139.62</v>
      </c>
      <c r="N76">
        <v>630.69000000000005</v>
      </c>
      <c r="O76" t="s">
        <v>42</v>
      </c>
      <c r="P76">
        <v>27.97</v>
      </c>
    </row>
    <row r="77" spans="1:16" x14ac:dyDescent="0.25">
      <c r="A77" t="s">
        <v>141</v>
      </c>
      <c r="B77" s="1">
        <v>40634</v>
      </c>
      <c r="C77">
        <v>2011</v>
      </c>
      <c r="D77" t="s">
        <v>103</v>
      </c>
      <c r="E77" t="s">
        <v>104</v>
      </c>
      <c r="F77" t="s">
        <v>19</v>
      </c>
      <c r="G77" t="s">
        <v>46</v>
      </c>
      <c r="H77">
        <v>62.35</v>
      </c>
      <c r="I77">
        <v>152.44</v>
      </c>
      <c r="J77">
        <v>2444.98</v>
      </c>
      <c r="K77" t="s">
        <v>40</v>
      </c>
      <c r="L77" t="s">
        <v>29</v>
      </c>
      <c r="M77">
        <v>108.05</v>
      </c>
      <c r="N77">
        <v>837.9</v>
      </c>
      <c r="O77" t="s">
        <v>52</v>
      </c>
      <c r="P77">
        <v>23.83</v>
      </c>
    </row>
    <row r="78" spans="1:16" x14ac:dyDescent="0.25">
      <c r="A78" t="s">
        <v>142</v>
      </c>
      <c r="B78" s="1">
        <v>43329</v>
      </c>
      <c r="C78">
        <v>2018</v>
      </c>
      <c r="D78" t="s">
        <v>31</v>
      </c>
      <c r="E78" t="s">
        <v>117</v>
      </c>
      <c r="F78" t="s">
        <v>33</v>
      </c>
      <c r="G78" t="s">
        <v>64</v>
      </c>
      <c r="H78">
        <v>44.73</v>
      </c>
      <c r="I78">
        <v>137.47</v>
      </c>
      <c r="J78">
        <v>3073.39</v>
      </c>
      <c r="K78" t="s">
        <v>34</v>
      </c>
      <c r="L78" t="s">
        <v>41</v>
      </c>
      <c r="M78">
        <v>209.73</v>
      </c>
      <c r="N78">
        <v>624.30999999999995</v>
      </c>
      <c r="O78" t="s">
        <v>70</v>
      </c>
      <c r="P78">
        <v>26.85</v>
      </c>
    </row>
    <row r="79" spans="1:16" x14ac:dyDescent="0.25">
      <c r="A79" t="s">
        <v>143</v>
      </c>
      <c r="B79" s="1">
        <v>40839</v>
      </c>
      <c r="C79">
        <v>2011</v>
      </c>
      <c r="D79" t="s">
        <v>36</v>
      </c>
      <c r="E79" t="s">
        <v>51</v>
      </c>
      <c r="F79" t="s">
        <v>33</v>
      </c>
      <c r="G79" t="s">
        <v>46</v>
      </c>
      <c r="H79">
        <v>57.62</v>
      </c>
      <c r="I79">
        <v>256.33999999999997</v>
      </c>
      <c r="J79">
        <v>4448.87</v>
      </c>
      <c r="K79" t="s">
        <v>34</v>
      </c>
      <c r="L79" t="s">
        <v>22</v>
      </c>
      <c r="M79">
        <v>55.48</v>
      </c>
      <c r="N79">
        <v>1030.04</v>
      </c>
      <c r="O79" t="s">
        <v>52</v>
      </c>
      <c r="P79">
        <v>24.12</v>
      </c>
    </row>
    <row r="80" spans="1:16" x14ac:dyDescent="0.25">
      <c r="A80" t="s">
        <v>144</v>
      </c>
      <c r="B80" s="1">
        <v>43050</v>
      </c>
      <c r="C80">
        <v>2017</v>
      </c>
      <c r="D80" t="s">
        <v>59</v>
      </c>
      <c r="E80" t="s">
        <v>93</v>
      </c>
      <c r="F80" t="s">
        <v>38</v>
      </c>
      <c r="G80" t="s">
        <v>56</v>
      </c>
      <c r="H80">
        <v>61.1</v>
      </c>
      <c r="I80">
        <v>190.26</v>
      </c>
      <c r="J80">
        <v>3113.93</v>
      </c>
      <c r="K80" t="s">
        <v>40</v>
      </c>
      <c r="L80" t="s">
        <v>49</v>
      </c>
      <c r="M80">
        <v>205.22</v>
      </c>
      <c r="N80">
        <v>877.76</v>
      </c>
      <c r="O80" t="s">
        <v>42</v>
      </c>
      <c r="P80">
        <v>29.42</v>
      </c>
    </row>
    <row r="81" spans="1:16" x14ac:dyDescent="0.25">
      <c r="A81" t="s">
        <v>145</v>
      </c>
      <c r="B81" s="1">
        <v>40303</v>
      </c>
      <c r="C81">
        <v>2010</v>
      </c>
      <c r="D81" t="s">
        <v>44</v>
      </c>
      <c r="E81" t="s">
        <v>99</v>
      </c>
      <c r="F81" t="s">
        <v>19</v>
      </c>
      <c r="G81" t="s">
        <v>20</v>
      </c>
      <c r="H81">
        <v>73.5</v>
      </c>
      <c r="I81">
        <v>113.25</v>
      </c>
      <c r="J81">
        <v>1540.8</v>
      </c>
      <c r="K81" t="s">
        <v>34</v>
      </c>
      <c r="L81" t="s">
        <v>49</v>
      </c>
      <c r="M81">
        <v>131.68</v>
      </c>
      <c r="N81">
        <v>615.5</v>
      </c>
      <c r="O81" t="s">
        <v>42</v>
      </c>
      <c r="P81">
        <v>21.98</v>
      </c>
    </row>
    <row r="82" spans="1:16" x14ac:dyDescent="0.25">
      <c r="A82" t="s">
        <v>146</v>
      </c>
      <c r="B82" s="1">
        <v>41810</v>
      </c>
      <c r="C82">
        <v>2014</v>
      </c>
      <c r="D82" t="s">
        <v>59</v>
      </c>
      <c r="E82" t="s">
        <v>93</v>
      </c>
      <c r="F82" t="s">
        <v>33</v>
      </c>
      <c r="G82" t="s">
        <v>20</v>
      </c>
      <c r="H82">
        <v>91.49</v>
      </c>
      <c r="I82">
        <v>609.79</v>
      </c>
      <c r="J82">
        <v>6665.13</v>
      </c>
      <c r="K82" t="s">
        <v>34</v>
      </c>
      <c r="L82" t="s">
        <v>41</v>
      </c>
      <c r="M82">
        <v>236.64</v>
      </c>
      <c r="N82">
        <v>538.72</v>
      </c>
      <c r="O82" t="s">
        <v>23</v>
      </c>
      <c r="P82">
        <v>27.02</v>
      </c>
    </row>
    <row r="83" spans="1:16" x14ac:dyDescent="0.25">
      <c r="A83" t="s">
        <v>147</v>
      </c>
      <c r="B83" s="1">
        <v>43951</v>
      </c>
      <c r="C83">
        <v>2020</v>
      </c>
      <c r="D83" t="s">
        <v>44</v>
      </c>
      <c r="E83" t="s">
        <v>45</v>
      </c>
      <c r="F83" t="s">
        <v>19</v>
      </c>
      <c r="G83" t="s">
        <v>39</v>
      </c>
      <c r="H83">
        <v>98.01</v>
      </c>
      <c r="I83">
        <v>666.82</v>
      </c>
      <c r="J83">
        <v>6803.62</v>
      </c>
      <c r="K83" t="s">
        <v>34</v>
      </c>
      <c r="L83" t="s">
        <v>49</v>
      </c>
      <c r="M83">
        <v>72.58</v>
      </c>
      <c r="N83">
        <v>594.57000000000005</v>
      </c>
      <c r="O83" t="s">
        <v>70</v>
      </c>
      <c r="P83">
        <v>28.05</v>
      </c>
    </row>
    <row r="84" spans="1:16" x14ac:dyDescent="0.25">
      <c r="A84" t="s">
        <v>148</v>
      </c>
      <c r="B84" s="1">
        <v>44279</v>
      </c>
      <c r="C84">
        <v>2020</v>
      </c>
      <c r="D84" t="s">
        <v>17</v>
      </c>
      <c r="E84" t="s">
        <v>54</v>
      </c>
      <c r="F84" t="s">
        <v>38</v>
      </c>
      <c r="G84" t="s">
        <v>27</v>
      </c>
      <c r="H84">
        <v>38.72</v>
      </c>
      <c r="I84">
        <v>187.07</v>
      </c>
      <c r="J84">
        <v>4831.3</v>
      </c>
      <c r="K84" t="s">
        <v>34</v>
      </c>
      <c r="L84" t="s">
        <v>49</v>
      </c>
      <c r="M84">
        <v>77.09</v>
      </c>
      <c r="N84">
        <v>433.82</v>
      </c>
      <c r="O84" t="s">
        <v>23</v>
      </c>
      <c r="P84">
        <v>29.29</v>
      </c>
    </row>
    <row r="85" spans="1:16" x14ac:dyDescent="0.25">
      <c r="A85" t="s">
        <v>149</v>
      </c>
      <c r="B85" s="1">
        <v>44060</v>
      </c>
      <c r="C85">
        <v>2020</v>
      </c>
      <c r="D85" t="s">
        <v>59</v>
      </c>
      <c r="E85" t="s">
        <v>60</v>
      </c>
      <c r="F85" t="s">
        <v>33</v>
      </c>
      <c r="G85" t="s">
        <v>39</v>
      </c>
      <c r="H85">
        <v>82.56</v>
      </c>
      <c r="I85">
        <v>533.03</v>
      </c>
      <c r="J85">
        <v>6456.33</v>
      </c>
      <c r="K85" t="s">
        <v>34</v>
      </c>
      <c r="L85" t="s">
        <v>29</v>
      </c>
      <c r="M85">
        <v>212.31</v>
      </c>
      <c r="N85">
        <v>316.68</v>
      </c>
      <c r="O85" t="s">
        <v>23</v>
      </c>
      <c r="P85">
        <v>34.19</v>
      </c>
    </row>
    <row r="86" spans="1:16" x14ac:dyDescent="0.25">
      <c r="A86" t="s">
        <v>150</v>
      </c>
      <c r="B86" s="1">
        <v>41418</v>
      </c>
      <c r="C86">
        <v>2013</v>
      </c>
      <c r="D86" t="s">
        <v>25</v>
      </c>
      <c r="E86" t="s">
        <v>26</v>
      </c>
      <c r="F86" t="s">
        <v>19</v>
      </c>
      <c r="G86" t="s">
        <v>56</v>
      </c>
      <c r="H86">
        <v>39.479999999999997</v>
      </c>
      <c r="I86">
        <v>127.37</v>
      </c>
      <c r="J86">
        <v>3226.07</v>
      </c>
      <c r="K86" t="s">
        <v>28</v>
      </c>
      <c r="L86" t="s">
        <v>29</v>
      </c>
      <c r="M86">
        <v>196.84</v>
      </c>
      <c r="N86">
        <v>926.6</v>
      </c>
      <c r="O86" t="s">
        <v>52</v>
      </c>
      <c r="P86">
        <v>29.82</v>
      </c>
    </row>
    <row r="87" spans="1:16" x14ac:dyDescent="0.25">
      <c r="A87" t="s">
        <v>151</v>
      </c>
      <c r="B87" s="1">
        <v>41882</v>
      </c>
      <c r="C87">
        <v>2014</v>
      </c>
      <c r="D87" t="s">
        <v>59</v>
      </c>
      <c r="E87" t="s">
        <v>63</v>
      </c>
      <c r="F87" t="s">
        <v>33</v>
      </c>
      <c r="G87" t="s">
        <v>39</v>
      </c>
      <c r="H87">
        <v>37.68</v>
      </c>
      <c r="I87">
        <v>137.91999999999999</v>
      </c>
      <c r="J87">
        <v>3660.3</v>
      </c>
      <c r="K87" t="s">
        <v>40</v>
      </c>
      <c r="L87" t="s">
        <v>22</v>
      </c>
      <c r="M87">
        <v>263.86</v>
      </c>
      <c r="N87">
        <v>299.35000000000002</v>
      </c>
      <c r="O87" t="s">
        <v>70</v>
      </c>
      <c r="P87">
        <v>28.17</v>
      </c>
    </row>
    <row r="88" spans="1:16" x14ac:dyDescent="0.25">
      <c r="A88" t="s">
        <v>152</v>
      </c>
      <c r="B88" s="1">
        <v>41478</v>
      </c>
      <c r="C88">
        <v>2013</v>
      </c>
      <c r="D88" t="s">
        <v>36</v>
      </c>
      <c r="E88" t="s">
        <v>51</v>
      </c>
      <c r="F88" t="s">
        <v>33</v>
      </c>
      <c r="G88" t="s">
        <v>46</v>
      </c>
      <c r="H88">
        <v>10.08</v>
      </c>
      <c r="I88">
        <v>22.91</v>
      </c>
      <c r="J88">
        <v>2272.63</v>
      </c>
      <c r="K88" t="s">
        <v>21</v>
      </c>
      <c r="L88" t="s">
        <v>22</v>
      </c>
      <c r="M88">
        <v>62.64</v>
      </c>
      <c r="N88">
        <v>533.51</v>
      </c>
      <c r="O88" t="s">
        <v>42</v>
      </c>
      <c r="P88">
        <v>31.8</v>
      </c>
    </row>
    <row r="89" spans="1:16" x14ac:dyDescent="0.25">
      <c r="A89" t="s">
        <v>153</v>
      </c>
      <c r="B89" s="1">
        <v>41374</v>
      </c>
      <c r="C89">
        <v>2013</v>
      </c>
      <c r="D89" t="s">
        <v>44</v>
      </c>
      <c r="E89" t="s">
        <v>67</v>
      </c>
      <c r="F89" t="s">
        <v>19</v>
      </c>
      <c r="G89" t="s">
        <v>56</v>
      </c>
      <c r="H89">
        <v>81.489999999999995</v>
      </c>
      <c r="I89">
        <v>195.41</v>
      </c>
      <c r="J89">
        <v>2397.9899999999998</v>
      </c>
      <c r="K89" t="s">
        <v>40</v>
      </c>
      <c r="L89" t="s">
        <v>41</v>
      </c>
      <c r="M89">
        <v>247.16</v>
      </c>
      <c r="N89">
        <v>795.98</v>
      </c>
      <c r="O89" t="s">
        <v>70</v>
      </c>
      <c r="P89">
        <v>32.880000000000003</v>
      </c>
    </row>
    <row r="90" spans="1:16" x14ac:dyDescent="0.25">
      <c r="A90" t="s">
        <v>154</v>
      </c>
      <c r="B90" s="1">
        <v>44757</v>
      </c>
      <c r="C90">
        <v>2022</v>
      </c>
      <c r="D90" t="s">
        <v>59</v>
      </c>
      <c r="E90" t="s">
        <v>63</v>
      </c>
      <c r="F90" t="s">
        <v>33</v>
      </c>
      <c r="G90" t="s">
        <v>64</v>
      </c>
      <c r="H90">
        <v>66.44</v>
      </c>
      <c r="I90">
        <v>76.72</v>
      </c>
      <c r="J90">
        <v>1154.68</v>
      </c>
      <c r="K90" t="s">
        <v>21</v>
      </c>
      <c r="L90" t="s">
        <v>49</v>
      </c>
      <c r="M90">
        <v>139.56</v>
      </c>
      <c r="N90">
        <v>988.43</v>
      </c>
      <c r="O90" t="s">
        <v>61</v>
      </c>
      <c r="P90">
        <v>24.86</v>
      </c>
    </row>
    <row r="91" spans="1:16" x14ac:dyDescent="0.25">
      <c r="A91" t="s">
        <v>155</v>
      </c>
      <c r="B91" s="1">
        <v>44557</v>
      </c>
      <c r="C91">
        <v>2021</v>
      </c>
      <c r="D91" t="s">
        <v>25</v>
      </c>
      <c r="E91" t="s">
        <v>26</v>
      </c>
      <c r="F91" t="s">
        <v>38</v>
      </c>
      <c r="G91" t="s">
        <v>27</v>
      </c>
      <c r="H91">
        <v>12.25</v>
      </c>
      <c r="I91">
        <v>16.920000000000002</v>
      </c>
      <c r="J91">
        <v>1381.35</v>
      </c>
      <c r="K91" t="s">
        <v>28</v>
      </c>
      <c r="L91" t="s">
        <v>47</v>
      </c>
      <c r="M91">
        <v>244.5</v>
      </c>
      <c r="N91">
        <v>713.24</v>
      </c>
      <c r="O91" t="s">
        <v>23</v>
      </c>
      <c r="P91">
        <v>26.78</v>
      </c>
    </row>
    <row r="92" spans="1:16" x14ac:dyDescent="0.25">
      <c r="A92" t="s">
        <v>156</v>
      </c>
      <c r="B92" s="1">
        <v>44658</v>
      </c>
      <c r="C92">
        <v>2022</v>
      </c>
      <c r="D92" t="s">
        <v>25</v>
      </c>
      <c r="E92" t="s">
        <v>69</v>
      </c>
      <c r="F92" t="s">
        <v>19</v>
      </c>
      <c r="G92" t="s">
        <v>27</v>
      </c>
      <c r="H92">
        <v>30.86</v>
      </c>
      <c r="I92">
        <v>149.97999999999999</v>
      </c>
      <c r="J92">
        <v>4860.04</v>
      </c>
      <c r="K92" t="s">
        <v>21</v>
      </c>
      <c r="L92" t="s">
        <v>29</v>
      </c>
      <c r="M92">
        <v>65.209999999999994</v>
      </c>
      <c r="N92">
        <v>678.98</v>
      </c>
      <c r="O92" t="s">
        <v>52</v>
      </c>
      <c r="P92">
        <v>26.39</v>
      </c>
    </row>
    <row r="93" spans="1:16" x14ac:dyDescent="0.25">
      <c r="A93" t="s">
        <v>157</v>
      </c>
      <c r="B93" s="1">
        <v>40847</v>
      </c>
      <c r="C93">
        <v>2011</v>
      </c>
      <c r="D93" t="s">
        <v>17</v>
      </c>
      <c r="E93" t="s">
        <v>72</v>
      </c>
      <c r="F93" t="s">
        <v>33</v>
      </c>
      <c r="G93" t="s">
        <v>20</v>
      </c>
      <c r="H93">
        <v>61.22</v>
      </c>
      <c r="I93">
        <v>85.35</v>
      </c>
      <c r="J93">
        <v>1394.09</v>
      </c>
      <c r="K93" t="s">
        <v>34</v>
      </c>
      <c r="L93" t="s">
        <v>47</v>
      </c>
      <c r="M93">
        <v>206.08</v>
      </c>
      <c r="N93">
        <v>785.36</v>
      </c>
      <c r="O93" t="s">
        <v>70</v>
      </c>
      <c r="P93">
        <v>25.71</v>
      </c>
    </row>
    <row r="94" spans="1:16" x14ac:dyDescent="0.25">
      <c r="A94" t="s">
        <v>158</v>
      </c>
      <c r="B94" s="1">
        <v>43220</v>
      </c>
      <c r="C94">
        <v>2018</v>
      </c>
      <c r="D94" t="s">
        <v>31</v>
      </c>
      <c r="E94" t="s">
        <v>32</v>
      </c>
      <c r="F94" t="s">
        <v>19</v>
      </c>
      <c r="G94" t="s">
        <v>46</v>
      </c>
      <c r="H94">
        <v>10.82</v>
      </c>
      <c r="I94">
        <v>56.38</v>
      </c>
      <c r="J94">
        <v>5210.68</v>
      </c>
      <c r="K94" t="s">
        <v>40</v>
      </c>
      <c r="L94" t="s">
        <v>29</v>
      </c>
      <c r="M94">
        <v>157.52000000000001</v>
      </c>
      <c r="N94">
        <v>1088.0899999999999</v>
      </c>
      <c r="O94" t="s">
        <v>52</v>
      </c>
      <c r="P94">
        <v>25.08</v>
      </c>
    </row>
    <row r="95" spans="1:16" x14ac:dyDescent="0.25">
      <c r="A95" t="s">
        <v>159</v>
      </c>
      <c r="B95" s="1">
        <v>40871</v>
      </c>
      <c r="C95">
        <v>2011</v>
      </c>
      <c r="D95" t="s">
        <v>36</v>
      </c>
      <c r="E95" t="s">
        <v>77</v>
      </c>
      <c r="F95" t="s">
        <v>38</v>
      </c>
      <c r="G95" t="s">
        <v>46</v>
      </c>
      <c r="H95">
        <v>31.94</v>
      </c>
      <c r="I95">
        <v>80.790000000000006</v>
      </c>
      <c r="J95">
        <v>2529.34</v>
      </c>
      <c r="K95" t="s">
        <v>40</v>
      </c>
      <c r="L95" t="s">
        <v>29</v>
      </c>
      <c r="M95">
        <v>221.71</v>
      </c>
      <c r="N95">
        <v>674.27</v>
      </c>
      <c r="O95" t="s">
        <v>23</v>
      </c>
      <c r="P95">
        <v>32.479999999999997</v>
      </c>
    </row>
    <row r="96" spans="1:16" x14ac:dyDescent="0.25">
      <c r="A96" t="s">
        <v>160</v>
      </c>
      <c r="B96" s="1">
        <v>44514</v>
      </c>
      <c r="C96">
        <v>2021</v>
      </c>
      <c r="D96" t="s">
        <v>25</v>
      </c>
      <c r="E96" t="s">
        <v>69</v>
      </c>
      <c r="F96" t="s">
        <v>38</v>
      </c>
      <c r="G96" t="s">
        <v>56</v>
      </c>
      <c r="H96">
        <v>56.08</v>
      </c>
      <c r="I96">
        <v>253.41</v>
      </c>
      <c r="J96">
        <v>4518.79</v>
      </c>
      <c r="K96" t="s">
        <v>34</v>
      </c>
      <c r="L96" t="s">
        <v>49</v>
      </c>
      <c r="M96">
        <v>217.5</v>
      </c>
      <c r="N96">
        <v>610.80999999999995</v>
      </c>
      <c r="O96" t="s">
        <v>52</v>
      </c>
      <c r="P96">
        <v>33.020000000000003</v>
      </c>
    </row>
    <row r="97" spans="1:16" x14ac:dyDescent="0.25">
      <c r="A97" t="s">
        <v>161</v>
      </c>
      <c r="B97" s="1">
        <v>42227</v>
      </c>
      <c r="C97">
        <v>2015</v>
      </c>
      <c r="D97" t="s">
        <v>59</v>
      </c>
      <c r="E97" t="s">
        <v>63</v>
      </c>
      <c r="F97" t="s">
        <v>33</v>
      </c>
      <c r="G97" t="s">
        <v>27</v>
      </c>
      <c r="H97">
        <v>51.23</v>
      </c>
      <c r="I97">
        <v>98.79</v>
      </c>
      <c r="J97">
        <v>1928.38</v>
      </c>
      <c r="K97" t="s">
        <v>28</v>
      </c>
      <c r="L97" t="s">
        <v>47</v>
      </c>
      <c r="M97">
        <v>106.06</v>
      </c>
      <c r="N97">
        <v>308.22000000000003</v>
      </c>
      <c r="O97" t="s">
        <v>61</v>
      </c>
      <c r="P97">
        <v>25.51</v>
      </c>
    </row>
    <row r="98" spans="1:16" x14ac:dyDescent="0.25">
      <c r="A98" t="s">
        <v>162</v>
      </c>
      <c r="B98" s="1">
        <v>43213</v>
      </c>
      <c r="C98">
        <v>2018</v>
      </c>
      <c r="D98" t="s">
        <v>103</v>
      </c>
      <c r="E98" t="s">
        <v>107</v>
      </c>
      <c r="F98" t="s">
        <v>19</v>
      </c>
      <c r="G98" t="s">
        <v>27</v>
      </c>
      <c r="H98">
        <v>67.819999999999993</v>
      </c>
      <c r="I98">
        <v>294.37</v>
      </c>
      <c r="J98">
        <v>4340.4399999999996</v>
      </c>
      <c r="K98" t="s">
        <v>34</v>
      </c>
      <c r="L98" t="s">
        <v>22</v>
      </c>
      <c r="M98">
        <v>57.24</v>
      </c>
      <c r="N98">
        <v>473.27</v>
      </c>
      <c r="O98" t="s">
        <v>70</v>
      </c>
      <c r="P98">
        <v>33.82</v>
      </c>
    </row>
    <row r="99" spans="1:16" x14ac:dyDescent="0.25">
      <c r="A99" t="s">
        <v>163</v>
      </c>
      <c r="B99" s="1">
        <v>43577</v>
      </c>
      <c r="C99">
        <v>2019</v>
      </c>
      <c r="D99" t="s">
        <v>103</v>
      </c>
      <c r="E99" t="s">
        <v>104</v>
      </c>
      <c r="F99" t="s">
        <v>19</v>
      </c>
      <c r="G99" t="s">
        <v>46</v>
      </c>
      <c r="H99">
        <v>7.89</v>
      </c>
      <c r="I99">
        <v>42.97</v>
      </c>
      <c r="J99">
        <v>5445.81</v>
      </c>
      <c r="K99" t="s">
        <v>21</v>
      </c>
      <c r="L99" t="s">
        <v>41</v>
      </c>
      <c r="M99">
        <v>72.94</v>
      </c>
      <c r="N99">
        <v>730.48</v>
      </c>
      <c r="O99" t="s">
        <v>52</v>
      </c>
      <c r="P99">
        <v>26.3</v>
      </c>
    </row>
    <row r="100" spans="1:16" x14ac:dyDescent="0.25">
      <c r="A100" t="s">
        <v>164</v>
      </c>
      <c r="B100" s="1">
        <v>44609</v>
      </c>
      <c r="C100">
        <v>2021</v>
      </c>
      <c r="D100" t="s">
        <v>31</v>
      </c>
      <c r="E100" t="s">
        <v>32</v>
      </c>
      <c r="F100" t="s">
        <v>38</v>
      </c>
      <c r="G100" t="s">
        <v>27</v>
      </c>
      <c r="H100">
        <v>60.03</v>
      </c>
      <c r="I100">
        <v>378.19</v>
      </c>
      <c r="J100">
        <v>6300.05</v>
      </c>
      <c r="K100" t="s">
        <v>40</v>
      </c>
      <c r="L100" t="s">
        <v>29</v>
      </c>
      <c r="M100">
        <v>89.35</v>
      </c>
      <c r="N100">
        <v>817.84</v>
      </c>
      <c r="O100" t="s">
        <v>23</v>
      </c>
      <c r="P100">
        <v>24.08</v>
      </c>
    </row>
    <row r="101" spans="1:16" x14ac:dyDescent="0.25">
      <c r="A101" t="s">
        <v>165</v>
      </c>
      <c r="B101" s="1">
        <v>42753</v>
      </c>
      <c r="C101">
        <v>2016</v>
      </c>
      <c r="D101" t="s">
        <v>59</v>
      </c>
      <c r="E101" t="s">
        <v>63</v>
      </c>
      <c r="F101" t="s">
        <v>38</v>
      </c>
      <c r="G101" t="s">
        <v>56</v>
      </c>
      <c r="H101">
        <v>75.739999999999995</v>
      </c>
      <c r="I101">
        <v>127.46</v>
      </c>
      <c r="J101">
        <v>1682.91</v>
      </c>
      <c r="K101" t="s">
        <v>28</v>
      </c>
      <c r="L101" t="s">
        <v>22</v>
      </c>
      <c r="M101">
        <v>77.72</v>
      </c>
      <c r="N101">
        <v>878.22</v>
      </c>
      <c r="O101" t="s">
        <v>61</v>
      </c>
      <c r="P101">
        <v>27.3</v>
      </c>
    </row>
    <row r="102" spans="1:16" x14ac:dyDescent="0.25">
      <c r="A102" t="s">
        <v>166</v>
      </c>
      <c r="B102" s="1">
        <v>43727</v>
      </c>
      <c r="C102">
        <v>2019</v>
      </c>
      <c r="D102" t="s">
        <v>103</v>
      </c>
      <c r="E102" t="s">
        <v>107</v>
      </c>
      <c r="F102" t="s">
        <v>33</v>
      </c>
      <c r="G102" t="s">
        <v>64</v>
      </c>
      <c r="H102">
        <v>21.24</v>
      </c>
      <c r="I102">
        <v>141.71</v>
      </c>
      <c r="J102">
        <v>6671.94</v>
      </c>
      <c r="K102" t="s">
        <v>40</v>
      </c>
      <c r="L102" t="s">
        <v>41</v>
      </c>
      <c r="M102">
        <v>241.04</v>
      </c>
      <c r="N102">
        <v>489.45</v>
      </c>
      <c r="O102" t="s">
        <v>23</v>
      </c>
      <c r="P102">
        <v>20.12</v>
      </c>
    </row>
    <row r="103" spans="1:16" x14ac:dyDescent="0.25">
      <c r="A103" t="s">
        <v>167</v>
      </c>
      <c r="B103" s="1">
        <v>43220</v>
      </c>
      <c r="C103">
        <v>2018</v>
      </c>
      <c r="D103" t="s">
        <v>103</v>
      </c>
      <c r="E103" t="s">
        <v>107</v>
      </c>
      <c r="F103" t="s">
        <v>19</v>
      </c>
      <c r="G103" t="s">
        <v>56</v>
      </c>
      <c r="H103">
        <v>50.53</v>
      </c>
      <c r="I103">
        <v>303.19</v>
      </c>
      <c r="J103">
        <v>6000.13</v>
      </c>
      <c r="K103" t="s">
        <v>34</v>
      </c>
      <c r="L103" t="s">
        <v>22</v>
      </c>
      <c r="M103">
        <v>68.02</v>
      </c>
      <c r="N103">
        <v>1061.76</v>
      </c>
      <c r="O103" t="s">
        <v>23</v>
      </c>
      <c r="P103">
        <v>26.54</v>
      </c>
    </row>
    <row r="104" spans="1:16" x14ac:dyDescent="0.25">
      <c r="A104" t="s">
        <v>168</v>
      </c>
      <c r="B104" s="1">
        <v>43887</v>
      </c>
      <c r="C104">
        <v>2019</v>
      </c>
      <c r="D104" t="s">
        <v>44</v>
      </c>
      <c r="E104" t="s">
        <v>99</v>
      </c>
      <c r="F104" t="s">
        <v>38</v>
      </c>
      <c r="G104" t="s">
        <v>27</v>
      </c>
      <c r="H104">
        <v>41.04</v>
      </c>
      <c r="I104">
        <v>198.67</v>
      </c>
      <c r="J104">
        <v>4840.8500000000004</v>
      </c>
      <c r="K104" t="s">
        <v>34</v>
      </c>
      <c r="L104" t="s">
        <v>49</v>
      </c>
      <c r="M104">
        <v>78.790000000000006</v>
      </c>
      <c r="N104">
        <v>220.86</v>
      </c>
      <c r="O104" t="s">
        <v>70</v>
      </c>
      <c r="P104">
        <v>22.58</v>
      </c>
    </row>
    <row r="105" spans="1:16" x14ac:dyDescent="0.25">
      <c r="A105" t="s">
        <v>169</v>
      </c>
      <c r="B105" s="1">
        <v>40738</v>
      </c>
      <c r="C105">
        <v>2011</v>
      </c>
      <c r="D105" t="s">
        <v>25</v>
      </c>
      <c r="E105" t="s">
        <v>87</v>
      </c>
      <c r="F105" t="s">
        <v>33</v>
      </c>
      <c r="G105" t="s">
        <v>46</v>
      </c>
      <c r="H105">
        <v>59.3</v>
      </c>
      <c r="I105">
        <v>245.73</v>
      </c>
      <c r="J105">
        <v>4143.78</v>
      </c>
      <c r="K105" t="s">
        <v>28</v>
      </c>
      <c r="L105" t="s">
        <v>22</v>
      </c>
      <c r="M105">
        <v>267.63</v>
      </c>
      <c r="N105">
        <v>945.8</v>
      </c>
      <c r="O105" t="s">
        <v>42</v>
      </c>
      <c r="P105">
        <v>25</v>
      </c>
    </row>
    <row r="106" spans="1:16" x14ac:dyDescent="0.25">
      <c r="A106" t="s">
        <v>170</v>
      </c>
      <c r="B106" s="1">
        <v>40643</v>
      </c>
      <c r="C106">
        <v>2011</v>
      </c>
      <c r="D106" t="s">
        <v>59</v>
      </c>
      <c r="E106" t="s">
        <v>93</v>
      </c>
      <c r="F106" t="s">
        <v>19</v>
      </c>
      <c r="G106" t="s">
        <v>27</v>
      </c>
      <c r="H106">
        <v>20.2</v>
      </c>
      <c r="I106">
        <v>114.28</v>
      </c>
      <c r="J106">
        <v>5657.37</v>
      </c>
      <c r="K106" t="s">
        <v>34</v>
      </c>
      <c r="L106" t="s">
        <v>49</v>
      </c>
      <c r="M106">
        <v>231.84</v>
      </c>
      <c r="N106">
        <v>1018.95</v>
      </c>
      <c r="O106" t="s">
        <v>42</v>
      </c>
      <c r="P106">
        <v>23.54</v>
      </c>
    </row>
    <row r="107" spans="1:16" x14ac:dyDescent="0.25">
      <c r="A107" t="s">
        <v>171</v>
      </c>
      <c r="B107" s="1">
        <v>43761</v>
      </c>
      <c r="C107">
        <v>2019</v>
      </c>
      <c r="D107" t="s">
        <v>103</v>
      </c>
      <c r="E107" t="s">
        <v>104</v>
      </c>
      <c r="F107" t="s">
        <v>33</v>
      </c>
      <c r="G107" t="s">
        <v>39</v>
      </c>
      <c r="H107">
        <v>8.4600000000000009</v>
      </c>
      <c r="I107">
        <v>56.75</v>
      </c>
      <c r="J107">
        <v>6707.75</v>
      </c>
      <c r="K107" t="s">
        <v>28</v>
      </c>
      <c r="L107" t="s">
        <v>47</v>
      </c>
      <c r="M107">
        <v>165.99</v>
      </c>
      <c r="N107">
        <v>763.74</v>
      </c>
      <c r="O107" t="s">
        <v>61</v>
      </c>
      <c r="P107">
        <v>26.73</v>
      </c>
    </row>
    <row r="108" spans="1:16" x14ac:dyDescent="0.25">
      <c r="A108" t="s">
        <v>172</v>
      </c>
      <c r="B108" s="1">
        <v>42235</v>
      </c>
      <c r="C108">
        <v>2015</v>
      </c>
      <c r="D108" t="s">
        <v>31</v>
      </c>
      <c r="E108" t="s">
        <v>117</v>
      </c>
      <c r="F108" t="s">
        <v>33</v>
      </c>
      <c r="G108" t="s">
        <v>46</v>
      </c>
      <c r="H108">
        <v>7.76</v>
      </c>
      <c r="I108">
        <v>28.35</v>
      </c>
      <c r="J108">
        <v>3653.25</v>
      </c>
      <c r="K108" t="s">
        <v>34</v>
      </c>
      <c r="L108" t="s">
        <v>29</v>
      </c>
      <c r="M108">
        <v>249.08</v>
      </c>
      <c r="N108">
        <v>791.42</v>
      </c>
      <c r="O108" t="s">
        <v>70</v>
      </c>
      <c r="P108">
        <v>27.61</v>
      </c>
    </row>
    <row r="109" spans="1:16" x14ac:dyDescent="0.25">
      <c r="A109" t="s">
        <v>173</v>
      </c>
      <c r="B109" s="1">
        <v>40493</v>
      </c>
      <c r="C109">
        <v>2010</v>
      </c>
      <c r="D109" t="s">
        <v>36</v>
      </c>
      <c r="E109" t="s">
        <v>37</v>
      </c>
      <c r="F109" t="s">
        <v>38</v>
      </c>
      <c r="G109" t="s">
        <v>20</v>
      </c>
      <c r="H109">
        <v>8.6</v>
      </c>
      <c r="I109">
        <v>53.2</v>
      </c>
      <c r="J109">
        <v>6185.5</v>
      </c>
      <c r="K109" t="s">
        <v>21</v>
      </c>
      <c r="L109" t="s">
        <v>29</v>
      </c>
      <c r="M109">
        <v>203.75</v>
      </c>
      <c r="N109">
        <v>707.07</v>
      </c>
      <c r="O109" t="s">
        <v>52</v>
      </c>
      <c r="P109">
        <v>28.7</v>
      </c>
    </row>
    <row r="110" spans="1:16" x14ac:dyDescent="0.25">
      <c r="A110" t="s">
        <v>174</v>
      </c>
      <c r="B110" s="1">
        <v>44004</v>
      </c>
      <c r="C110">
        <v>2020</v>
      </c>
      <c r="D110" t="s">
        <v>44</v>
      </c>
      <c r="E110" t="s">
        <v>67</v>
      </c>
      <c r="F110" t="s">
        <v>33</v>
      </c>
      <c r="G110" t="s">
        <v>20</v>
      </c>
      <c r="H110">
        <v>60.9</v>
      </c>
      <c r="I110">
        <v>244.1</v>
      </c>
      <c r="J110">
        <v>4008.2</v>
      </c>
      <c r="K110" t="s">
        <v>21</v>
      </c>
      <c r="L110" t="s">
        <v>47</v>
      </c>
      <c r="M110">
        <v>162.63</v>
      </c>
      <c r="N110">
        <v>1010.97</v>
      </c>
      <c r="O110" t="s">
        <v>70</v>
      </c>
      <c r="P110">
        <v>34.74</v>
      </c>
    </row>
    <row r="111" spans="1:16" x14ac:dyDescent="0.25">
      <c r="A111" t="s">
        <v>175</v>
      </c>
      <c r="B111" s="1">
        <v>40416</v>
      </c>
      <c r="C111">
        <v>2010</v>
      </c>
      <c r="D111" t="s">
        <v>17</v>
      </c>
      <c r="E111" t="s">
        <v>18</v>
      </c>
      <c r="F111" t="s">
        <v>33</v>
      </c>
      <c r="G111" t="s">
        <v>39</v>
      </c>
      <c r="H111">
        <v>44.34</v>
      </c>
      <c r="I111">
        <v>161.24</v>
      </c>
      <c r="J111">
        <v>3636.53</v>
      </c>
      <c r="K111" t="s">
        <v>40</v>
      </c>
      <c r="L111" t="s">
        <v>47</v>
      </c>
      <c r="M111">
        <v>140.97</v>
      </c>
      <c r="N111">
        <v>1117.94</v>
      </c>
      <c r="O111" t="s">
        <v>52</v>
      </c>
      <c r="P111">
        <v>26.13</v>
      </c>
    </row>
    <row r="112" spans="1:16" x14ac:dyDescent="0.25">
      <c r="A112" t="s">
        <v>176</v>
      </c>
      <c r="B112" s="1">
        <v>44221</v>
      </c>
      <c r="C112">
        <v>2020</v>
      </c>
      <c r="D112" t="s">
        <v>25</v>
      </c>
      <c r="E112" t="s">
        <v>69</v>
      </c>
      <c r="F112" t="s">
        <v>38</v>
      </c>
      <c r="G112" t="s">
        <v>64</v>
      </c>
      <c r="H112">
        <v>33.64</v>
      </c>
      <c r="I112">
        <v>146.26</v>
      </c>
      <c r="J112">
        <v>4347.78</v>
      </c>
      <c r="K112" t="s">
        <v>28</v>
      </c>
      <c r="L112" t="s">
        <v>22</v>
      </c>
      <c r="M112">
        <v>121.04</v>
      </c>
      <c r="N112">
        <v>923.73</v>
      </c>
      <c r="O112" t="s">
        <v>61</v>
      </c>
      <c r="P112">
        <v>33.1</v>
      </c>
    </row>
    <row r="113" spans="1:16" x14ac:dyDescent="0.25">
      <c r="A113" t="s">
        <v>177</v>
      </c>
      <c r="B113" s="1">
        <v>41310</v>
      </c>
      <c r="C113">
        <v>2012</v>
      </c>
      <c r="D113" t="s">
        <v>59</v>
      </c>
      <c r="E113" t="s">
        <v>93</v>
      </c>
      <c r="F113" t="s">
        <v>38</v>
      </c>
      <c r="G113" t="s">
        <v>20</v>
      </c>
      <c r="H113">
        <v>96.8</v>
      </c>
      <c r="I113">
        <v>502.48</v>
      </c>
      <c r="J113">
        <v>5190.88</v>
      </c>
      <c r="K113" t="s">
        <v>28</v>
      </c>
      <c r="L113" t="s">
        <v>49</v>
      </c>
      <c r="M113">
        <v>82.24</v>
      </c>
      <c r="N113">
        <v>908.83</v>
      </c>
      <c r="O113" t="s">
        <v>23</v>
      </c>
      <c r="P113">
        <v>24.64</v>
      </c>
    </row>
    <row r="114" spans="1:16" x14ac:dyDescent="0.25">
      <c r="A114" t="s">
        <v>178</v>
      </c>
      <c r="B114" s="1">
        <v>43941</v>
      </c>
      <c r="C114">
        <v>2020</v>
      </c>
      <c r="D114" t="s">
        <v>44</v>
      </c>
      <c r="E114" t="s">
        <v>45</v>
      </c>
      <c r="F114" t="s">
        <v>19</v>
      </c>
      <c r="G114" t="s">
        <v>39</v>
      </c>
      <c r="H114">
        <v>99.72</v>
      </c>
      <c r="I114">
        <v>645.66</v>
      </c>
      <c r="J114">
        <v>6474.69</v>
      </c>
      <c r="K114" t="s">
        <v>21</v>
      </c>
      <c r="L114" t="s">
        <v>41</v>
      </c>
      <c r="M114">
        <v>211.51</v>
      </c>
      <c r="N114">
        <v>623.41</v>
      </c>
      <c r="O114" t="s">
        <v>70</v>
      </c>
      <c r="P114">
        <v>20.27</v>
      </c>
    </row>
    <row r="115" spans="1:16" x14ac:dyDescent="0.25">
      <c r="A115" t="s">
        <v>179</v>
      </c>
      <c r="B115" s="1">
        <v>45000</v>
      </c>
      <c r="C115">
        <v>2022</v>
      </c>
      <c r="D115" t="s">
        <v>103</v>
      </c>
      <c r="E115" t="s">
        <v>107</v>
      </c>
      <c r="F115" t="s">
        <v>38</v>
      </c>
      <c r="G115" t="s">
        <v>56</v>
      </c>
      <c r="H115">
        <v>23.43</v>
      </c>
      <c r="I115">
        <v>42.77</v>
      </c>
      <c r="J115">
        <v>1825.39</v>
      </c>
      <c r="K115" t="s">
        <v>21</v>
      </c>
      <c r="L115" t="s">
        <v>22</v>
      </c>
      <c r="M115">
        <v>123.95</v>
      </c>
      <c r="N115">
        <v>988.12</v>
      </c>
      <c r="O115" t="s">
        <v>61</v>
      </c>
      <c r="P115">
        <v>31.56</v>
      </c>
    </row>
    <row r="116" spans="1:16" x14ac:dyDescent="0.25">
      <c r="A116" t="s">
        <v>180</v>
      </c>
      <c r="B116" s="1">
        <v>44654</v>
      </c>
      <c r="C116">
        <v>2022</v>
      </c>
      <c r="D116" t="s">
        <v>17</v>
      </c>
      <c r="E116" t="s">
        <v>72</v>
      </c>
      <c r="F116" t="s">
        <v>19</v>
      </c>
      <c r="G116" t="s">
        <v>56</v>
      </c>
      <c r="H116">
        <v>60.13</v>
      </c>
      <c r="I116">
        <v>115.78</v>
      </c>
      <c r="J116">
        <v>1925.52</v>
      </c>
      <c r="K116" t="s">
        <v>40</v>
      </c>
      <c r="L116" t="s">
        <v>29</v>
      </c>
      <c r="M116">
        <v>257.83999999999997</v>
      </c>
      <c r="N116">
        <v>971.1</v>
      </c>
      <c r="O116" t="s">
        <v>42</v>
      </c>
      <c r="P116">
        <v>30.82</v>
      </c>
    </row>
    <row r="117" spans="1:16" x14ac:dyDescent="0.25">
      <c r="A117" t="s">
        <v>181</v>
      </c>
      <c r="B117" s="1">
        <v>44397</v>
      </c>
      <c r="C117">
        <v>2021</v>
      </c>
      <c r="D117" t="s">
        <v>31</v>
      </c>
      <c r="E117" t="s">
        <v>117</v>
      </c>
      <c r="F117" t="s">
        <v>33</v>
      </c>
      <c r="G117" t="s">
        <v>46</v>
      </c>
      <c r="H117">
        <v>61.45</v>
      </c>
      <c r="I117">
        <v>338.86</v>
      </c>
      <c r="J117">
        <v>5514.35</v>
      </c>
      <c r="K117" t="s">
        <v>28</v>
      </c>
      <c r="L117" t="s">
        <v>49</v>
      </c>
      <c r="M117">
        <v>108.5</v>
      </c>
      <c r="N117">
        <v>439.17</v>
      </c>
      <c r="O117" t="s">
        <v>52</v>
      </c>
      <c r="P117">
        <v>33.56</v>
      </c>
    </row>
    <row r="118" spans="1:16" x14ac:dyDescent="0.25">
      <c r="A118" t="s">
        <v>182</v>
      </c>
      <c r="B118" s="1">
        <v>43104</v>
      </c>
      <c r="C118">
        <v>2017</v>
      </c>
      <c r="D118" t="s">
        <v>17</v>
      </c>
      <c r="E118" t="s">
        <v>54</v>
      </c>
      <c r="F118" t="s">
        <v>38</v>
      </c>
      <c r="G118" t="s">
        <v>20</v>
      </c>
      <c r="H118">
        <v>78.03</v>
      </c>
      <c r="I118">
        <v>313.48</v>
      </c>
      <c r="J118">
        <v>4017.44</v>
      </c>
      <c r="K118" t="s">
        <v>28</v>
      </c>
      <c r="L118" t="s">
        <v>22</v>
      </c>
      <c r="M118">
        <v>291.57</v>
      </c>
      <c r="N118">
        <v>1016.89</v>
      </c>
      <c r="O118" t="s">
        <v>61</v>
      </c>
      <c r="P118">
        <v>22.08</v>
      </c>
    </row>
    <row r="119" spans="1:16" x14ac:dyDescent="0.25">
      <c r="A119" t="s">
        <v>183</v>
      </c>
      <c r="B119" s="1">
        <v>42127</v>
      </c>
      <c r="C119">
        <v>2015</v>
      </c>
      <c r="D119" t="s">
        <v>17</v>
      </c>
      <c r="E119" t="s">
        <v>72</v>
      </c>
      <c r="F119" t="s">
        <v>19</v>
      </c>
      <c r="G119" t="s">
        <v>64</v>
      </c>
      <c r="H119">
        <v>71.430000000000007</v>
      </c>
      <c r="I119">
        <v>292.54000000000002</v>
      </c>
      <c r="J119">
        <v>4095.46</v>
      </c>
      <c r="K119" t="s">
        <v>21</v>
      </c>
      <c r="L119" t="s">
        <v>41</v>
      </c>
      <c r="M119">
        <v>121.27</v>
      </c>
      <c r="N119">
        <v>963.12</v>
      </c>
      <c r="O119" t="s">
        <v>70</v>
      </c>
      <c r="P119">
        <v>26.74</v>
      </c>
    </row>
    <row r="120" spans="1:16" x14ac:dyDescent="0.25">
      <c r="A120" t="s">
        <v>184</v>
      </c>
      <c r="B120" s="1">
        <v>40715</v>
      </c>
      <c r="C120">
        <v>2011</v>
      </c>
      <c r="D120" t="s">
        <v>44</v>
      </c>
      <c r="E120" t="s">
        <v>99</v>
      </c>
      <c r="F120" t="s">
        <v>33</v>
      </c>
      <c r="G120" t="s">
        <v>46</v>
      </c>
      <c r="H120">
        <v>88.58</v>
      </c>
      <c r="I120">
        <v>583.11</v>
      </c>
      <c r="J120">
        <v>6582.83</v>
      </c>
      <c r="K120" t="s">
        <v>28</v>
      </c>
      <c r="L120" t="s">
        <v>49</v>
      </c>
      <c r="M120">
        <v>63.31</v>
      </c>
      <c r="N120">
        <v>702.01</v>
      </c>
      <c r="O120" t="s">
        <v>42</v>
      </c>
      <c r="P120">
        <v>25.79</v>
      </c>
    </row>
    <row r="121" spans="1:16" x14ac:dyDescent="0.25">
      <c r="A121" t="s">
        <v>185</v>
      </c>
      <c r="B121" s="1">
        <v>42191</v>
      </c>
      <c r="C121">
        <v>2015</v>
      </c>
      <c r="D121" t="s">
        <v>103</v>
      </c>
      <c r="E121" t="s">
        <v>104</v>
      </c>
      <c r="F121" t="s">
        <v>33</v>
      </c>
      <c r="G121" t="s">
        <v>39</v>
      </c>
      <c r="H121">
        <v>65.349999999999994</v>
      </c>
      <c r="I121">
        <v>375.65</v>
      </c>
      <c r="J121">
        <v>5748.28</v>
      </c>
      <c r="K121" t="s">
        <v>40</v>
      </c>
      <c r="L121" t="s">
        <v>29</v>
      </c>
      <c r="M121">
        <v>59.58</v>
      </c>
      <c r="N121">
        <v>1117.4000000000001</v>
      </c>
      <c r="O121" t="s">
        <v>52</v>
      </c>
      <c r="P121">
        <v>30.44</v>
      </c>
    </row>
    <row r="122" spans="1:16" x14ac:dyDescent="0.25">
      <c r="A122" t="s">
        <v>186</v>
      </c>
      <c r="B122" s="1">
        <v>40391</v>
      </c>
      <c r="C122">
        <v>2010</v>
      </c>
      <c r="D122" t="s">
        <v>36</v>
      </c>
      <c r="E122" t="s">
        <v>77</v>
      </c>
      <c r="F122" t="s">
        <v>33</v>
      </c>
      <c r="G122" t="s">
        <v>64</v>
      </c>
      <c r="H122">
        <v>26.34</v>
      </c>
      <c r="I122">
        <v>158.30000000000001</v>
      </c>
      <c r="J122">
        <v>6009.78</v>
      </c>
      <c r="K122" t="s">
        <v>28</v>
      </c>
      <c r="L122" t="s">
        <v>29</v>
      </c>
      <c r="M122">
        <v>77.8</v>
      </c>
      <c r="N122">
        <v>488.1</v>
      </c>
      <c r="O122" t="s">
        <v>70</v>
      </c>
      <c r="P122">
        <v>21.83</v>
      </c>
    </row>
    <row r="123" spans="1:16" x14ac:dyDescent="0.25">
      <c r="A123" t="s">
        <v>187</v>
      </c>
      <c r="B123" s="1">
        <v>42887</v>
      </c>
      <c r="C123">
        <v>2017</v>
      </c>
      <c r="D123" t="s">
        <v>17</v>
      </c>
      <c r="E123" t="s">
        <v>54</v>
      </c>
      <c r="F123" t="s">
        <v>33</v>
      </c>
      <c r="G123" t="s">
        <v>64</v>
      </c>
      <c r="H123">
        <v>83.83</v>
      </c>
      <c r="I123">
        <v>335.23</v>
      </c>
      <c r="J123">
        <v>3998.98</v>
      </c>
      <c r="K123" t="s">
        <v>21</v>
      </c>
      <c r="L123" t="s">
        <v>47</v>
      </c>
      <c r="M123">
        <v>207.99</v>
      </c>
      <c r="N123">
        <v>775.05</v>
      </c>
      <c r="O123" t="s">
        <v>42</v>
      </c>
      <c r="P123">
        <v>24.37</v>
      </c>
    </row>
    <row r="124" spans="1:16" x14ac:dyDescent="0.25">
      <c r="A124" t="s">
        <v>188</v>
      </c>
      <c r="B124" s="1">
        <v>43899</v>
      </c>
      <c r="C124">
        <v>2019</v>
      </c>
      <c r="D124" t="s">
        <v>31</v>
      </c>
      <c r="E124" t="s">
        <v>82</v>
      </c>
      <c r="F124" t="s">
        <v>38</v>
      </c>
      <c r="G124" t="s">
        <v>56</v>
      </c>
      <c r="H124">
        <v>66.77</v>
      </c>
      <c r="I124">
        <v>101.07</v>
      </c>
      <c r="J124">
        <v>1513.68</v>
      </c>
      <c r="K124" t="s">
        <v>34</v>
      </c>
      <c r="L124" t="s">
        <v>47</v>
      </c>
      <c r="M124">
        <v>66.92</v>
      </c>
      <c r="N124">
        <v>726.06</v>
      </c>
      <c r="O124" t="s">
        <v>61</v>
      </c>
      <c r="P124">
        <v>31.8</v>
      </c>
    </row>
    <row r="125" spans="1:16" x14ac:dyDescent="0.25">
      <c r="A125" t="s">
        <v>189</v>
      </c>
      <c r="B125" s="1">
        <v>42913</v>
      </c>
      <c r="C125">
        <v>2017</v>
      </c>
      <c r="D125" t="s">
        <v>25</v>
      </c>
      <c r="E125" t="s">
        <v>87</v>
      </c>
      <c r="F125" t="s">
        <v>33</v>
      </c>
      <c r="G125" t="s">
        <v>39</v>
      </c>
      <c r="H125">
        <v>39.299999999999997</v>
      </c>
      <c r="I125">
        <v>127.32</v>
      </c>
      <c r="J125">
        <v>3239.81</v>
      </c>
      <c r="K125" t="s">
        <v>21</v>
      </c>
      <c r="L125" t="s">
        <v>47</v>
      </c>
      <c r="M125">
        <v>139.27000000000001</v>
      </c>
      <c r="N125">
        <v>267.56</v>
      </c>
      <c r="O125" t="s">
        <v>42</v>
      </c>
      <c r="P125">
        <v>30.99</v>
      </c>
    </row>
    <row r="126" spans="1:16" x14ac:dyDescent="0.25">
      <c r="A126" t="s">
        <v>190</v>
      </c>
      <c r="B126" s="1">
        <v>41095</v>
      </c>
      <c r="C126">
        <v>2012</v>
      </c>
      <c r="D126" t="s">
        <v>17</v>
      </c>
      <c r="E126" t="s">
        <v>72</v>
      </c>
      <c r="F126" t="s">
        <v>33</v>
      </c>
      <c r="G126" t="s">
        <v>20</v>
      </c>
      <c r="H126">
        <v>55.06</v>
      </c>
      <c r="I126">
        <v>323.81</v>
      </c>
      <c r="J126">
        <v>5881.05</v>
      </c>
      <c r="K126" t="s">
        <v>40</v>
      </c>
      <c r="L126" t="s">
        <v>22</v>
      </c>
      <c r="M126">
        <v>257.60000000000002</v>
      </c>
      <c r="N126">
        <v>884.68</v>
      </c>
      <c r="O126" t="s">
        <v>52</v>
      </c>
      <c r="P126">
        <v>29.48</v>
      </c>
    </row>
    <row r="127" spans="1:16" x14ac:dyDescent="0.25">
      <c r="A127" t="s">
        <v>191</v>
      </c>
      <c r="B127" s="1">
        <v>40622</v>
      </c>
      <c r="C127">
        <v>2010</v>
      </c>
      <c r="D127" t="s">
        <v>17</v>
      </c>
      <c r="E127" t="s">
        <v>72</v>
      </c>
      <c r="F127" t="s">
        <v>38</v>
      </c>
      <c r="G127" t="s">
        <v>56</v>
      </c>
      <c r="H127">
        <v>5.34</v>
      </c>
      <c r="I127">
        <v>11.73</v>
      </c>
      <c r="J127">
        <v>2196.8200000000002</v>
      </c>
      <c r="K127" t="s">
        <v>21</v>
      </c>
      <c r="L127" t="s">
        <v>29</v>
      </c>
      <c r="M127">
        <v>128.9</v>
      </c>
      <c r="N127">
        <v>510.08</v>
      </c>
      <c r="O127" t="s">
        <v>52</v>
      </c>
      <c r="P127">
        <v>34.840000000000003</v>
      </c>
    </row>
    <row r="128" spans="1:16" x14ac:dyDescent="0.25">
      <c r="A128" t="s">
        <v>192</v>
      </c>
      <c r="B128" s="1">
        <v>44679</v>
      </c>
      <c r="C128">
        <v>2022</v>
      </c>
      <c r="D128" t="s">
        <v>31</v>
      </c>
      <c r="E128" t="s">
        <v>82</v>
      </c>
      <c r="F128" t="s">
        <v>19</v>
      </c>
      <c r="G128" t="s">
        <v>56</v>
      </c>
      <c r="H128">
        <v>29.32</v>
      </c>
      <c r="I128">
        <v>180.99</v>
      </c>
      <c r="J128">
        <v>6172.83</v>
      </c>
      <c r="K128" t="s">
        <v>21</v>
      </c>
      <c r="L128" t="s">
        <v>29</v>
      </c>
      <c r="M128">
        <v>266.45</v>
      </c>
      <c r="N128">
        <v>531.91999999999996</v>
      </c>
      <c r="O128" t="s">
        <v>23</v>
      </c>
      <c r="P128">
        <v>31.99</v>
      </c>
    </row>
    <row r="129" spans="1:16" x14ac:dyDescent="0.25">
      <c r="A129" t="s">
        <v>193</v>
      </c>
      <c r="B129" s="1">
        <v>42721</v>
      </c>
      <c r="C129">
        <v>2016</v>
      </c>
      <c r="D129" t="s">
        <v>17</v>
      </c>
      <c r="E129" t="s">
        <v>72</v>
      </c>
      <c r="F129" t="s">
        <v>38</v>
      </c>
      <c r="G129" t="s">
        <v>56</v>
      </c>
      <c r="H129">
        <v>50.12</v>
      </c>
      <c r="I129">
        <v>199.74</v>
      </c>
      <c r="J129">
        <v>3985.14</v>
      </c>
      <c r="K129" t="s">
        <v>34</v>
      </c>
      <c r="L129" t="s">
        <v>47</v>
      </c>
      <c r="M129">
        <v>250.29</v>
      </c>
      <c r="N129">
        <v>927.08</v>
      </c>
      <c r="O129" t="s">
        <v>23</v>
      </c>
      <c r="P129">
        <v>26.46</v>
      </c>
    </row>
    <row r="130" spans="1:16" x14ac:dyDescent="0.25">
      <c r="A130" t="s">
        <v>194</v>
      </c>
      <c r="B130" s="1">
        <v>40785</v>
      </c>
      <c r="C130">
        <v>2011</v>
      </c>
      <c r="D130" t="s">
        <v>31</v>
      </c>
      <c r="E130" t="s">
        <v>32</v>
      </c>
      <c r="F130" t="s">
        <v>33</v>
      </c>
      <c r="G130" t="s">
        <v>20</v>
      </c>
      <c r="H130">
        <v>66.430000000000007</v>
      </c>
      <c r="I130">
        <v>188.59</v>
      </c>
      <c r="J130">
        <v>2838.98</v>
      </c>
      <c r="K130" t="s">
        <v>28</v>
      </c>
      <c r="L130" t="s">
        <v>47</v>
      </c>
      <c r="M130">
        <v>91.66</v>
      </c>
      <c r="N130">
        <v>643.91</v>
      </c>
      <c r="O130" t="s">
        <v>52</v>
      </c>
      <c r="P130">
        <v>20.64</v>
      </c>
    </row>
    <row r="131" spans="1:16" x14ac:dyDescent="0.25">
      <c r="A131" t="s">
        <v>195</v>
      </c>
      <c r="B131" s="1">
        <v>44095</v>
      </c>
      <c r="C131">
        <v>2020</v>
      </c>
      <c r="D131" t="s">
        <v>36</v>
      </c>
      <c r="E131" t="s">
        <v>51</v>
      </c>
      <c r="F131" t="s">
        <v>33</v>
      </c>
      <c r="G131" t="s">
        <v>64</v>
      </c>
      <c r="H131">
        <v>67.45</v>
      </c>
      <c r="I131">
        <v>231.84</v>
      </c>
      <c r="J131">
        <v>3437.26</v>
      </c>
      <c r="K131" t="s">
        <v>40</v>
      </c>
      <c r="L131" t="s">
        <v>22</v>
      </c>
      <c r="M131">
        <v>288.2</v>
      </c>
      <c r="N131">
        <v>342.78</v>
      </c>
      <c r="O131" t="s">
        <v>61</v>
      </c>
      <c r="P131">
        <v>30.17</v>
      </c>
    </row>
    <row r="132" spans="1:16" x14ac:dyDescent="0.25">
      <c r="A132" t="s">
        <v>196</v>
      </c>
      <c r="B132" s="1">
        <v>41413</v>
      </c>
      <c r="C132">
        <v>2013</v>
      </c>
      <c r="D132" t="s">
        <v>103</v>
      </c>
      <c r="E132" t="s">
        <v>104</v>
      </c>
      <c r="F132" t="s">
        <v>19</v>
      </c>
      <c r="G132" t="s">
        <v>20</v>
      </c>
      <c r="H132">
        <v>36.85</v>
      </c>
      <c r="I132">
        <v>246.78</v>
      </c>
      <c r="J132">
        <v>6696.8</v>
      </c>
      <c r="K132" t="s">
        <v>21</v>
      </c>
      <c r="L132" t="s">
        <v>22</v>
      </c>
      <c r="M132">
        <v>201.27</v>
      </c>
      <c r="N132">
        <v>879.06</v>
      </c>
      <c r="O132" t="s">
        <v>70</v>
      </c>
      <c r="P132">
        <v>25.58</v>
      </c>
    </row>
    <row r="133" spans="1:16" x14ac:dyDescent="0.25">
      <c r="A133" t="s">
        <v>197</v>
      </c>
      <c r="B133" s="1">
        <v>43548</v>
      </c>
      <c r="C133">
        <v>2018</v>
      </c>
      <c r="D133" t="s">
        <v>59</v>
      </c>
      <c r="E133" t="s">
        <v>60</v>
      </c>
      <c r="F133" t="s">
        <v>38</v>
      </c>
      <c r="G133" t="s">
        <v>46</v>
      </c>
      <c r="H133">
        <v>32.119999999999997</v>
      </c>
      <c r="I133">
        <v>85.83</v>
      </c>
      <c r="J133">
        <v>2672.14</v>
      </c>
      <c r="K133" t="s">
        <v>21</v>
      </c>
      <c r="L133" t="s">
        <v>22</v>
      </c>
      <c r="M133">
        <v>56.48</v>
      </c>
      <c r="N133">
        <v>386.05</v>
      </c>
      <c r="O133" t="s">
        <v>61</v>
      </c>
      <c r="P133">
        <v>25.8</v>
      </c>
    </row>
    <row r="134" spans="1:16" x14ac:dyDescent="0.25">
      <c r="A134" t="s">
        <v>198</v>
      </c>
      <c r="B134" s="1">
        <v>44614</v>
      </c>
      <c r="C134">
        <v>2021</v>
      </c>
      <c r="D134" t="s">
        <v>31</v>
      </c>
      <c r="E134" t="s">
        <v>32</v>
      </c>
      <c r="F134" t="s">
        <v>38</v>
      </c>
      <c r="G134" t="s">
        <v>56</v>
      </c>
      <c r="H134">
        <v>99.64</v>
      </c>
      <c r="I134">
        <v>270.37</v>
      </c>
      <c r="J134">
        <v>2713.46</v>
      </c>
      <c r="K134" t="s">
        <v>28</v>
      </c>
      <c r="L134" t="s">
        <v>22</v>
      </c>
      <c r="M134">
        <v>100.04</v>
      </c>
      <c r="N134">
        <v>335.73</v>
      </c>
      <c r="O134" t="s">
        <v>23</v>
      </c>
      <c r="P134">
        <v>26.78</v>
      </c>
    </row>
    <row r="135" spans="1:16" x14ac:dyDescent="0.25">
      <c r="A135" t="s">
        <v>199</v>
      </c>
      <c r="B135" s="1">
        <v>42127</v>
      </c>
      <c r="C135">
        <v>2015</v>
      </c>
      <c r="D135" t="s">
        <v>44</v>
      </c>
      <c r="E135" t="s">
        <v>67</v>
      </c>
      <c r="F135" t="s">
        <v>19</v>
      </c>
      <c r="G135" t="s">
        <v>20</v>
      </c>
      <c r="H135">
        <v>71.239999999999995</v>
      </c>
      <c r="I135">
        <v>306.33</v>
      </c>
      <c r="J135">
        <v>4299.9799999999996</v>
      </c>
      <c r="K135" t="s">
        <v>34</v>
      </c>
      <c r="L135" t="s">
        <v>41</v>
      </c>
      <c r="M135">
        <v>272.83</v>
      </c>
      <c r="N135">
        <v>1051.3599999999999</v>
      </c>
      <c r="O135" t="s">
        <v>42</v>
      </c>
      <c r="P135">
        <v>31.91</v>
      </c>
    </row>
    <row r="136" spans="1:16" x14ac:dyDescent="0.25">
      <c r="A136" t="s">
        <v>200</v>
      </c>
      <c r="B136" s="1">
        <v>44735</v>
      </c>
      <c r="C136">
        <v>2022</v>
      </c>
      <c r="D136" t="s">
        <v>25</v>
      </c>
      <c r="E136" t="s">
        <v>26</v>
      </c>
      <c r="F136" t="s">
        <v>33</v>
      </c>
      <c r="G136" t="s">
        <v>56</v>
      </c>
      <c r="H136">
        <v>79.25</v>
      </c>
      <c r="I136">
        <v>91.75</v>
      </c>
      <c r="J136">
        <v>1157.7</v>
      </c>
      <c r="K136" t="s">
        <v>34</v>
      </c>
      <c r="L136" t="s">
        <v>22</v>
      </c>
      <c r="M136">
        <v>166.85</v>
      </c>
      <c r="N136">
        <v>1183.01</v>
      </c>
      <c r="O136" t="s">
        <v>42</v>
      </c>
      <c r="P136">
        <v>29.18</v>
      </c>
    </row>
    <row r="137" spans="1:16" x14ac:dyDescent="0.25">
      <c r="A137" t="s">
        <v>201</v>
      </c>
      <c r="B137" s="1">
        <v>44330</v>
      </c>
      <c r="C137">
        <v>2021</v>
      </c>
      <c r="D137" t="s">
        <v>31</v>
      </c>
      <c r="E137" t="s">
        <v>32</v>
      </c>
      <c r="F137" t="s">
        <v>19</v>
      </c>
      <c r="G137" t="s">
        <v>46</v>
      </c>
      <c r="H137">
        <v>53.04</v>
      </c>
      <c r="I137">
        <v>297.82</v>
      </c>
      <c r="J137">
        <v>5614.99</v>
      </c>
      <c r="K137" t="s">
        <v>21</v>
      </c>
      <c r="L137" t="s">
        <v>47</v>
      </c>
      <c r="M137">
        <v>81.33</v>
      </c>
      <c r="N137">
        <v>517.03</v>
      </c>
      <c r="O137" t="s">
        <v>23</v>
      </c>
      <c r="P137">
        <v>26.75</v>
      </c>
    </row>
    <row r="138" spans="1:16" x14ac:dyDescent="0.25">
      <c r="A138" t="s">
        <v>202</v>
      </c>
      <c r="B138" s="1">
        <v>44685</v>
      </c>
      <c r="C138">
        <v>2022</v>
      </c>
      <c r="D138" t="s">
        <v>31</v>
      </c>
      <c r="E138" t="s">
        <v>82</v>
      </c>
      <c r="F138" t="s">
        <v>19</v>
      </c>
      <c r="G138" t="s">
        <v>39</v>
      </c>
      <c r="H138">
        <v>59.19</v>
      </c>
      <c r="I138">
        <v>331.86</v>
      </c>
      <c r="J138">
        <v>5606.69</v>
      </c>
      <c r="K138" t="s">
        <v>40</v>
      </c>
      <c r="L138" t="s">
        <v>41</v>
      </c>
      <c r="M138">
        <v>158.15</v>
      </c>
      <c r="N138">
        <v>1110.71</v>
      </c>
      <c r="O138" t="s">
        <v>23</v>
      </c>
      <c r="P138">
        <v>32.47</v>
      </c>
    </row>
    <row r="139" spans="1:16" x14ac:dyDescent="0.25">
      <c r="A139" t="s">
        <v>203</v>
      </c>
      <c r="B139" s="1">
        <v>41291</v>
      </c>
      <c r="C139">
        <v>2012</v>
      </c>
      <c r="D139" t="s">
        <v>31</v>
      </c>
      <c r="E139" t="s">
        <v>82</v>
      </c>
      <c r="F139" t="s">
        <v>38</v>
      </c>
      <c r="G139" t="s">
        <v>39</v>
      </c>
      <c r="H139">
        <v>23.32</v>
      </c>
      <c r="I139">
        <v>155.88999999999999</v>
      </c>
      <c r="J139">
        <v>6684.9</v>
      </c>
      <c r="K139" t="s">
        <v>34</v>
      </c>
      <c r="L139" t="s">
        <v>47</v>
      </c>
      <c r="M139">
        <v>261.48</v>
      </c>
      <c r="N139">
        <v>450.61</v>
      </c>
      <c r="O139" t="s">
        <v>61</v>
      </c>
      <c r="P139">
        <v>24.12</v>
      </c>
    </row>
    <row r="140" spans="1:16" x14ac:dyDescent="0.25">
      <c r="A140" t="s">
        <v>204</v>
      </c>
      <c r="B140" s="1">
        <v>43250</v>
      </c>
      <c r="C140">
        <v>2018</v>
      </c>
      <c r="D140" t="s">
        <v>59</v>
      </c>
      <c r="E140" t="s">
        <v>60</v>
      </c>
      <c r="F140" t="s">
        <v>19</v>
      </c>
      <c r="G140" t="s">
        <v>56</v>
      </c>
      <c r="H140">
        <v>59.59</v>
      </c>
      <c r="I140">
        <v>267.19</v>
      </c>
      <c r="J140">
        <v>4483.88</v>
      </c>
      <c r="K140" t="s">
        <v>40</v>
      </c>
      <c r="L140" t="s">
        <v>47</v>
      </c>
      <c r="M140">
        <v>214.68</v>
      </c>
      <c r="N140">
        <v>920.63</v>
      </c>
      <c r="O140" t="s">
        <v>61</v>
      </c>
      <c r="P140">
        <v>25.06</v>
      </c>
    </row>
    <row r="141" spans="1:16" x14ac:dyDescent="0.25">
      <c r="A141" t="s">
        <v>205</v>
      </c>
      <c r="B141" s="1">
        <v>40834</v>
      </c>
      <c r="C141">
        <v>2011</v>
      </c>
      <c r="D141" t="s">
        <v>25</v>
      </c>
      <c r="E141" t="s">
        <v>26</v>
      </c>
      <c r="F141" t="s">
        <v>33</v>
      </c>
      <c r="G141" t="s">
        <v>39</v>
      </c>
      <c r="H141">
        <v>77.33</v>
      </c>
      <c r="I141">
        <v>200.13</v>
      </c>
      <c r="J141">
        <v>2587.94</v>
      </c>
      <c r="K141" t="s">
        <v>40</v>
      </c>
      <c r="L141" t="s">
        <v>49</v>
      </c>
      <c r="M141">
        <v>241.74</v>
      </c>
      <c r="N141">
        <v>616.59</v>
      </c>
      <c r="O141" t="s">
        <v>23</v>
      </c>
      <c r="P141">
        <v>27.47</v>
      </c>
    </row>
    <row r="142" spans="1:16" x14ac:dyDescent="0.25">
      <c r="A142" t="s">
        <v>206</v>
      </c>
      <c r="B142" s="1">
        <v>42923</v>
      </c>
      <c r="C142">
        <v>2017</v>
      </c>
      <c r="D142" t="s">
        <v>17</v>
      </c>
      <c r="E142" t="s">
        <v>72</v>
      </c>
      <c r="F142" t="s">
        <v>33</v>
      </c>
      <c r="G142" t="s">
        <v>39</v>
      </c>
      <c r="H142">
        <v>41.2</v>
      </c>
      <c r="I142">
        <v>153.32</v>
      </c>
      <c r="J142">
        <v>3721.26</v>
      </c>
      <c r="K142" t="s">
        <v>21</v>
      </c>
      <c r="L142" t="s">
        <v>49</v>
      </c>
      <c r="M142">
        <v>89.52</v>
      </c>
      <c r="N142">
        <v>615.62</v>
      </c>
      <c r="O142" t="s">
        <v>52</v>
      </c>
      <c r="P142">
        <v>23.06</v>
      </c>
    </row>
    <row r="143" spans="1:16" x14ac:dyDescent="0.25">
      <c r="A143" t="s">
        <v>207</v>
      </c>
      <c r="B143" s="1">
        <v>42112</v>
      </c>
      <c r="C143">
        <v>2015</v>
      </c>
      <c r="D143" t="s">
        <v>44</v>
      </c>
      <c r="E143" t="s">
        <v>67</v>
      </c>
      <c r="F143" t="s">
        <v>19</v>
      </c>
      <c r="G143" t="s">
        <v>20</v>
      </c>
      <c r="H143">
        <v>97.56</v>
      </c>
      <c r="I143">
        <v>174.11</v>
      </c>
      <c r="J143">
        <v>1784.6</v>
      </c>
      <c r="K143" t="s">
        <v>34</v>
      </c>
      <c r="L143" t="s">
        <v>29</v>
      </c>
      <c r="M143">
        <v>178.75</v>
      </c>
      <c r="N143">
        <v>306.18</v>
      </c>
      <c r="O143" t="s">
        <v>42</v>
      </c>
      <c r="P143">
        <v>27</v>
      </c>
    </row>
    <row r="144" spans="1:16" x14ac:dyDescent="0.25">
      <c r="A144" t="s">
        <v>208</v>
      </c>
      <c r="B144" s="1">
        <v>40842</v>
      </c>
      <c r="C144">
        <v>2011</v>
      </c>
      <c r="D144" t="s">
        <v>103</v>
      </c>
      <c r="E144" t="s">
        <v>104</v>
      </c>
      <c r="F144" t="s">
        <v>33</v>
      </c>
      <c r="G144" t="s">
        <v>20</v>
      </c>
      <c r="H144">
        <v>94.59</v>
      </c>
      <c r="I144">
        <v>585.04</v>
      </c>
      <c r="J144">
        <v>6184.98</v>
      </c>
      <c r="K144" t="s">
        <v>28</v>
      </c>
      <c r="L144" t="s">
        <v>49</v>
      </c>
      <c r="M144">
        <v>112.07</v>
      </c>
      <c r="N144">
        <v>1065.31</v>
      </c>
      <c r="O144" t="s">
        <v>42</v>
      </c>
      <c r="P144">
        <v>32.200000000000003</v>
      </c>
    </row>
    <row r="145" spans="1:16" x14ac:dyDescent="0.25">
      <c r="A145" t="s">
        <v>209</v>
      </c>
      <c r="B145" s="1">
        <v>42839</v>
      </c>
      <c r="C145">
        <v>2017</v>
      </c>
      <c r="D145" t="s">
        <v>103</v>
      </c>
      <c r="E145" t="s">
        <v>104</v>
      </c>
      <c r="F145" t="s">
        <v>19</v>
      </c>
      <c r="G145" t="s">
        <v>46</v>
      </c>
      <c r="H145">
        <v>50.38</v>
      </c>
      <c r="I145">
        <v>143.65</v>
      </c>
      <c r="J145">
        <v>2851.24</v>
      </c>
      <c r="K145" t="s">
        <v>21</v>
      </c>
      <c r="L145" t="s">
        <v>47</v>
      </c>
      <c r="M145">
        <v>72.510000000000005</v>
      </c>
      <c r="N145">
        <v>593.24</v>
      </c>
      <c r="O145" t="s">
        <v>52</v>
      </c>
      <c r="P145">
        <v>34.5</v>
      </c>
    </row>
    <row r="146" spans="1:16" x14ac:dyDescent="0.25">
      <c r="A146" t="s">
        <v>210</v>
      </c>
      <c r="B146" s="1">
        <v>40550</v>
      </c>
      <c r="C146">
        <v>2010</v>
      </c>
      <c r="D146" t="s">
        <v>31</v>
      </c>
      <c r="E146" t="s">
        <v>82</v>
      </c>
      <c r="F146" t="s">
        <v>38</v>
      </c>
      <c r="G146" t="s">
        <v>46</v>
      </c>
      <c r="H146">
        <v>60.15</v>
      </c>
      <c r="I146">
        <v>364.33</v>
      </c>
      <c r="J146">
        <v>6057.1</v>
      </c>
      <c r="K146" t="s">
        <v>28</v>
      </c>
      <c r="L146" t="s">
        <v>49</v>
      </c>
      <c r="M146">
        <v>121.44</v>
      </c>
      <c r="N146">
        <v>208.18</v>
      </c>
      <c r="O146" t="s">
        <v>23</v>
      </c>
      <c r="P146">
        <v>26.46</v>
      </c>
    </row>
    <row r="147" spans="1:16" x14ac:dyDescent="0.25">
      <c r="A147" t="s">
        <v>211</v>
      </c>
      <c r="B147" s="1">
        <v>42296</v>
      </c>
      <c r="C147">
        <v>2015</v>
      </c>
      <c r="D147" t="s">
        <v>44</v>
      </c>
      <c r="E147" t="s">
        <v>99</v>
      </c>
      <c r="F147" t="s">
        <v>33</v>
      </c>
      <c r="G147" t="s">
        <v>46</v>
      </c>
      <c r="H147">
        <v>6.06</v>
      </c>
      <c r="I147">
        <v>26.49</v>
      </c>
      <c r="J147">
        <v>4370.8999999999996</v>
      </c>
      <c r="K147" t="s">
        <v>34</v>
      </c>
      <c r="L147" t="s">
        <v>49</v>
      </c>
      <c r="M147">
        <v>188.31</v>
      </c>
      <c r="N147">
        <v>273.52999999999997</v>
      </c>
      <c r="O147" t="s">
        <v>61</v>
      </c>
      <c r="P147">
        <v>26.76</v>
      </c>
    </row>
    <row r="148" spans="1:16" x14ac:dyDescent="0.25">
      <c r="A148" t="s">
        <v>212</v>
      </c>
      <c r="B148" s="1">
        <v>43934</v>
      </c>
      <c r="C148">
        <v>2020</v>
      </c>
      <c r="D148" t="s">
        <v>44</v>
      </c>
      <c r="E148" t="s">
        <v>67</v>
      </c>
      <c r="F148" t="s">
        <v>19</v>
      </c>
      <c r="G148" t="s">
        <v>64</v>
      </c>
      <c r="H148">
        <v>13.74</v>
      </c>
      <c r="I148">
        <v>21.71</v>
      </c>
      <c r="J148">
        <v>1580.09</v>
      </c>
      <c r="K148" t="s">
        <v>34</v>
      </c>
      <c r="L148" t="s">
        <v>47</v>
      </c>
      <c r="M148">
        <v>248.72</v>
      </c>
      <c r="N148">
        <v>539.09</v>
      </c>
      <c r="O148" t="s">
        <v>70</v>
      </c>
      <c r="P148">
        <v>31.32</v>
      </c>
    </row>
    <row r="149" spans="1:16" x14ac:dyDescent="0.25">
      <c r="A149" t="s">
        <v>213</v>
      </c>
      <c r="B149" s="1">
        <v>43333</v>
      </c>
      <c r="C149">
        <v>2018</v>
      </c>
      <c r="D149" t="s">
        <v>59</v>
      </c>
      <c r="E149" t="s">
        <v>63</v>
      </c>
      <c r="F149" t="s">
        <v>33</v>
      </c>
      <c r="G149" t="s">
        <v>64</v>
      </c>
      <c r="H149">
        <v>4.8499999999999996</v>
      </c>
      <c r="I149">
        <v>25.62</v>
      </c>
      <c r="J149">
        <v>5281.55</v>
      </c>
      <c r="K149" t="s">
        <v>28</v>
      </c>
      <c r="L149" t="s">
        <v>41</v>
      </c>
      <c r="M149">
        <v>179.83</v>
      </c>
      <c r="N149">
        <v>348.94</v>
      </c>
      <c r="O149" t="s">
        <v>61</v>
      </c>
      <c r="P149">
        <v>22.1</v>
      </c>
    </row>
    <row r="150" spans="1:16" x14ac:dyDescent="0.25">
      <c r="A150" t="s">
        <v>214</v>
      </c>
      <c r="B150" s="1">
        <v>44529</v>
      </c>
      <c r="C150">
        <v>2021</v>
      </c>
      <c r="D150" t="s">
        <v>36</v>
      </c>
      <c r="E150" t="s">
        <v>77</v>
      </c>
      <c r="F150" t="s">
        <v>38</v>
      </c>
      <c r="G150" t="s">
        <v>27</v>
      </c>
      <c r="H150">
        <v>34.299999999999997</v>
      </c>
      <c r="I150">
        <v>204.76</v>
      </c>
      <c r="J150">
        <v>5969.74</v>
      </c>
      <c r="K150" t="s">
        <v>28</v>
      </c>
      <c r="L150" t="s">
        <v>29</v>
      </c>
      <c r="M150">
        <v>227.18</v>
      </c>
      <c r="N150">
        <v>499.79</v>
      </c>
      <c r="O150" t="s">
        <v>23</v>
      </c>
      <c r="P150">
        <v>25.53</v>
      </c>
    </row>
    <row r="151" spans="1:16" x14ac:dyDescent="0.25">
      <c r="A151" t="s">
        <v>215</v>
      </c>
      <c r="B151" s="1">
        <v>44698</v>
      </c>
      <c r="C151">
        <v>2022</v>
      </c>
      <c r="D151" t="s">
        <v>59</v>
      </c>
      <c r="E151" t="s">
        <v>63</v>
      </c>
      <c r="F151" t="s">
        <v>19</v>
      </c>
      <c r="G151" t="s">
        <v>39</v>
      </c>
      <c r="H151">
        <v>63.3</v>
      </c>
      <c r="I151">
        <v>290.01</v>
      </c>
      <c r="J151">
        <v>4581.46</v>
      </c>
      <c r="K151" t="s">
        <v>34</v>
      </c>
      <c r="L151" t="s">
        <v>22</v>
      </c>
      <c r="M151">
        <v>291.77</v>
      </c>
      <c r="N151">
        <v>982.9</v>
      </c>
      <c r="O151" t="s">
        <v>61</v>
      </c>
      <c r="P151">
        <v>28.66</v>
      </c>
    </row>
    <row r="152" spans="1:16" x14ac:dyDescent="0.25">
      <c r="A152" t="s">
        <v>216</v>
      </c>
      <c r="B152" s="1">
        <v>41044</v>
      </c>
      <c r="C152">
        <v>2012</v>
      </c>
      <c r="D152" t="s">
        <v>59</v>
      </c>
      <c r="E152" t="s">
        <v>63</v>
      </c>
      <c r="F152" t="s">
        <v>19</v>
      </c>
      <c r="G152" t="s">
        <v>39</v>
      </c>
      <c r="H152">
        <v>72.400000000000006</v>
      </c>
      <c r="I152">
        <v>408.89</v>
      </c>
      <c r="J152">
        <v>5647.64</v>
      </c>
      <c r="K152" t="s">
        <v>28</v>
      </c>
      <c r="L152" t="s">
        <v>22</v>
      </c>
      <c r="M152">
        <v>86.94</v>
      </c>
      <c r="N152">
        <v>880.73</v>
      </c>
      <c r="O152" t="s">
        <v>23</v>
      </c>
      <c r="P152">
        <v>28.59</v>
      </c>
    </row>
    <row r="153" spans="1:16" x14ac:dyDescent="0.25">
      <c r="A153" t="s">
        <v>217</v>
      </c>
      <c r="B153" s="1">
        <v>43055</v>
      </c>
      <c r="C153">
        <v>2017</v>
      </c>
      <c r="D153" t="s">
        <v>103</v>
      </c>
      <c r="E153" t="s">
        <v>104</v>
      </c>
      <c r="F153" t="s">
        <v>38</v>
      </c>
      <c r="G153" t="s">
        <v>46</v>
      </c>
      <c r="H153">
        <v>15.99</v>
      </c>
      <c r="I153">
        <v>82.24</v>
      </c>
      <c r="J153">
        <v>5143</v>
      </c>
      <c r="K153" t="s">
        <v>28</v>
      </c>
      <c r="L153" t="s">
        <v>41</v>
      </c>
      <c r="M153">
        <v>175.45</v>
      </c>
      <c r="N153">
        <v>811.48</v>
      </c>
      <c r="O153" t="s">
        <v>52</v>
      </c>
      <c r="P153">
        <v>33.090000000000003</v>
      </c>
    </row>
    <row r="154" spans="1:16" x14ac:dyDescent="0.25">
      <c r="A154" t="s">
        <v>218</v>
      </c>
      <c r="B154" s="1">
        <v>43472</v>
      </c>
      <c r="C154">
        <v>2018</v>
      </c>
      <c r="D154" t="s">
        <v>59</v>
      </c>
      <c r="E154" t="s">
        <v>60</v>
      </c>
      <c r="F154" t="s">
        <v>38</v>
      </c>
      <c r="G154" t="s">
        <v>39</v>
      </c>
      <c r="H154">
        <v>48.36</v>
      </c>
      <c r="I154">
        <v>157.69999999999999</v>
      </c>
      <c r="J154">
        <v>3260.95</v>
      </c>
      <c r="K154" t="s">
        <v>40</v>
      </c>
      <c r="L154" t="s">
        <v>47</v>
      </c>
      <c r="M154">
        <v>164.92</v>
      </c>
      <c r="N154">
        <v>733.13</v>
      </c>
      <c r="O154" t="s">
        <v>61</v>
      </c>
      <c r="P154">
        <v>25.31</v>
      </c>
    </row>
    <row r="155" spans="1:16" x14ac:dyDescent="0.25">
      <c r="A155" t="s">
        <v>219</v>
      </c>
      <c r="B155" s="1">
        <v>41668</v>
      </c>
      <c r="C155">
        <v>2013</v>
      </c>
      <c r="D155" t="s">
        <v>36</v>
      </c>
      <c r="E155" t="s">
        <v>37</v>
      </c>
      <c r="F155" t="s">
        <v>38</v>
      </c>
      <c r="G155" t="s">
        <v>27</v>
      </c>
      <c r="H155">
        <v>30.55</v>
      </c>
      <c r="I155">
        <v>203.12</v>
      </c>
      <c r="J155">
        <v>6648.91</v>
      </c>
      <c r="K155" t="s">
        <v>34</v>
      </c>
      <c r="L155" t="s">
        <v>47</v>
      </c>
      <c r="M155">
        <v>242.79</v>
      </c>
      <c r="N155">
        <v>904.9</v>
      </c>
      <c r="O155" t="s">
        <v>52</v>
      </c>
      <c r="P155">
        <v>24.76</v>
      </c>
    </row>
    <row r="156" spans="1:16" x14ac:dyDescent="0.25">
      <c r="A156" t="s">
        <v>220</v>
      </c>
      <c r="B156" s="1">
        <v>42017</v>
      </c>
      <c r="C156">
        <v>2014</v>
      </c>
      <c r="D156" t="s">
        <v>44</v>
      </c>
      <c r="E156" t="s">
        <v>67</v>
      </c>
      <c r="F156" t="s">
        <v>38</v>
      </c>
      <c r="G156" t="s">
        <v>64</v>
      </c>
      <c r="H156">
        <v>57.77</v>
      </c>
      <c r="I156">
        <v>246.05</v>
      </c>
      <c r="J156">
        <v>4259.1499999999996</v>
      </c>
      <c r="K156" t="s">
        <v>28</v>
      </c>
      <c r="L156" t="s">
        <v>22</v>
      </c>
      <c r="M156">
        <v>254.59</v>
      </c>
      <c r="N156">
        <v>1154.6099999999999</v>
      </c>
      <c r="O156" t="s">
        <v>42</v>
      </c>
      <c r="P156">
        <v>24.36</v>
      </c>
    </row>
    <row r="157" spans="1:16" x14ac:dyDescent="0.25">
      <c r="A157" t="s">
        <v>221</v>
      </c>
      <c r="B157" s="1">
        <v>44286</v>
      </c>
      <c r="C157">
        <v>2020</v>
      </c>
      <c r="D157" t="s">
        <v>31</v>
      </c>
      <c r="E157" t="s">
        <v>32</v>
      </c>
      <c r="F157" t="s">
        <v>38</v>
      </c>
      <c r="G157" t="s">
        <v>39</v>
      </c>
      <c r="H157">
        <v>48.43</v>
      </c>
      <c r="I157">
        <v>107.15</v>
      </c>
      <c r="J157">
        <v>2212.41</v>
      </c>
      <c r="K157" t="s">
        <v>34</v>
      </c>
      <c r="L157" t="s">
        <v>41</v>
      </c>
      <c r="M157">
        <v>283.26</v>
      </c>
      <c r="N157">
        <v>896.17</v>
      </c>
      <c r="O157" t="s">
        <v>42</v>
      </c>
      <c r="P157">
        <v>21.64</v>
      </c>
    </row>
    <row r="158" spans="1:16" x14ac:dyDescent="0.25">
      <c r="A158" t="s">
        <v>222</v>
      </c>
      <c r="B158" s="1">
        <v>43957</v>
      </c>
      <c r="C158">
        <v>2020</v>
      </c>
      <c r="D158" t="s">
        <v>103</v>
      </c>
      <c r="E158" t="s">
        <v>104</v>
      </c>
      <c r="F158" t="s">
        <v>19</v>
      </c>
      <c r="G158" t="s">
        <v>56</v>
      </c>
      <c r="H158">
        <v>64.16</v>
      </c>
      <c r="I158">
        <v>84.37</v>
      </c>
      <c r="J158">
        <v>1314.95</v>
      </c>
      <c r="K158" t="s">
        <v>28</v>
      </c>
      <c r="L158" t="s">
        <v>41</v>
      </c>
      <c r="M158">
        <v>132.57</v>
      </c>
      <c r="N158">
        <v>672.4</v>
      </c>
      <c r="O158" t="s">
        <v>42</v>
      </c>
      <c r="P158">
        <v>20.079999999999998</v>
      </c>
    </row>
    <row r="159" spans="1:16" x14ac:dyDescent="0.25">
      <c r="A159" t="s">
        <v>223</v>
      </c>
      <c r="B159" s="1">
        <v>43099</v>
      </c>
      <c r="C159">
        <v>2017</v>
      </c>
      <c r="D159" t="s">
        <v>36</v>
      </c>
      <c r="E159" t="s">
        <v>77</v>
      </c>
      <c r="F159" t="s">
        <v>38</v>
      </c>
      <c r="G159" t="s">
        <v>39</v>
      </c>
      <c r="H159">
        <v>20.75</v>
      </c>
      <c r="I159">
        <v>140.76</v>
      </c>
      <c r="J159">
        <v>6783.48</v>
      </c>
      <c r="K159" t="s">
        <v>34</v>
      </c>
      <c r="L159" t="s">
        <v>47</v>
      </c>
      <c r="M159">
        <v>121.35</v>
      </c>
      <c r="N159">
        <v>259.16000000000003</v>
      </c>
      <c r="O159" t="s">
        <v>23</v>
      </c>
      <c r="P159">
        <v>29.78</v>
      </c>
    </row>
    <row r="160" spans="1:16" x14ac:dyDescent="0.25">
      <c r="A160" t="s">
        <v>224</v>
      </c>
      <c r="B160" s="1">
        <v>40404</v>
      </c>
      <c r="C160">
        <v>2010</v>
      </c>
      <c r="D160" t="s">
        <v>17</v>
      </c>
      <c r="E160" t="s">
        <v>54</v>
      </c>
      <c r="F160" t="s">
        <v>33</v>
      </c>
      <c r="G160" t="s">
        <v>46</v>
      </c>
      <c r="H160">
        <v>88.34</v>
      </c>
      <c r="I160">
        <v>181.51</v>
      </c>
      <c r="J160">
        <v>2054.73</v>
      </c>
      <c r="K160" t="s">
        <v>21</v>
      </c>
      <c r="L160" t="s">
        <v>22</v>
      </c>
      <c r="M160">
        <v>299.29000000000002</v>
      </c>
      <c r="N160">
        <v>596.99</v>
      </c>
      <c r="O160" t="s">
        <v>52</v>
      </c>
      <c r="P160">
        <v>22.79</v>
      </c>
    </row>
    <row r="161" spans="1:16" x14ac:dyDescent="0.25">
      <c r="A161" t="s">
        <v>225</v>
      </c>
      <c r="B161" s="1">
        <v>43564</v>
      </c>
      <c r="C161">
        <v>2019</v>
      </c>
      <c r="D161" t="s">
        <v>25</v>
      </c>
      <c r="E161" t="s">
        <v>87</v>
      </c>
      <c r="F161" t="s">
        <v>19</v>
      </c>
      <c r="G161" t="s">
        <v>64</v>
      </c>
      <c r="H161">
        <v>92.92</v>
      </c>
      <c r="I161">
        <v>279.70999999999998</v>
      </c>
      <c r="J161">
        <v>3010.25</v>
      </c>
      <c r="K161" t="s">
        <v>28</v>
      </c>
      <c r="L161" t="s">
        <v>47</v>
      </c>
      <c r="M161">
        <v>297.27</v>
      </c>
      <c r="N161">
        <v>743.3</v>
      </c>
      <c r="O161" t="s">
        <v>52</v>
      </c>
      <c r="P161">
        <v>33.340000000000003</v>
      </c>
    </row>
    <row r="162" spans="1:16" x14ac:dyDescent="0.25">
      <c r="A162" t="s">
        <v>226</v>
      </c>
      <c r="B162" s="1">
        <v>41571</v>
      </c>
      <c r="C162">
        <v>2013</v>
      </c>
      <c r="D162" t="s">
        <v>36</v>
      </c>
      <c r="E162" t="s">
        <v>51</v>
      </c>
      <c r="F162" t="s">
        <v>33</v>
      </c>
      <c r="G162" t="s">
        <v>20</v>
      </c>
      <c r="H162">
        <v>17.09</v>
      </c>
      <c r="I162">
        <v>64.150000000000006</v>
      </c>
      <c r="J162">
        <v>3753.49</v>
      </c>
      <c r="K162" t="s">
        <v>34</v>
      </c>
      <c r="L162" t="s">
        <v>41</v>
      </c>
      <c r="M162">
        <v>229.65</v>
      </c>
      <c r="N162">
        <v>214.08</v>
      </c>
      <c r="O162" t="s">
        <v>70</v>
      </c>
      <c r="P162">
        <v>31.86</v>
      </c>
    </row>
    <row r="163" spans="1:16" x14ac:dyDescent="0.25">
      <c r="A163" t="s">
        <v>227</v>
      </c>
      <c r="B163" s="1">
        <v>44137</v>
      </c>
      <c r="C163">
        <v>2020</v>
      </c>
      <c r="D163" t="s">
        <v>103</v>
      </c>
      <c r="E163" t="s">
        <v>228</v>
      </c>
      <c r="F163" t="s">
        <v>38</v>
      </c>
      <c r="G163" t="s">
        <v>46</v>
      </c>
      <c r="H163">
        <v>52.01</v>
      </c>
      <c r="I163">
        <v>79.08</v>
      </c>
      <c r="J163">
        <v>1520.43</v>
      </c>
      <c r="K163" t="s">
        <v>21</v>
      </c>
      <c r="L163" t="s">
        <v>49</v>
      </c>
      <c r="M163">
        <v>96.2</v>
      </c>
      <c r="N163">
        <v>340.61</v>
      </c>
      <c r="O163" t="s">
        <v>70</v>
      </c>
      <c r="P163">
        <v>34.04</v>
      </c>
    </row>
    <row r="164" spans="1:16" x14ac:dyDescent="0.25">
      <c r="A164" t="s">
        <v>229</v>
      </c>
      <c r="B164" s="1">
        <v>43070</v>
      </c>
      <c r="C164">
        <v>2017</v>
      </c>
      <c r="D164" t="s">
        <v>36</v>
      </c>
      <c r="E164" t="s">
        <v>37</v>
      </c>
      <c r="F164" t="s">
        <v>38</v>
      </c>
      <c r="G164" t="s">
        <v>20</v>
      </c>
      <c r="H164">
        <v>30.89</v>
      </c>
      <c r="I164">
        <v>164.87</v>
      </c>
      <c r="J164">
        <v>5337.3</v>
      </c>
      <c r="K164" t="s">
        <v>21</v>
      </c>
      <c r="L164" t="s">
        <v>29</v>
      </c>
      <c r="M164">
        <v>115.39</v>
      </c>
      <c r="N164">
        <v>559.54999999999995</v>
      </c>
      <c r="O164" t="s">
        <v>42</v>
      </c>
      <c r="P164">
        <v>20.93</v>
      </c>
    </row>
    <row r="165" spans="1:16" x14ac:dyDescent="0.25">
      <c r="A165" t="s">
        <v>230</v>
      </c>
      <c r="B165" s="1">
        <v>42475</v>
      </c>
      <c r="C165">
        <v>2016</v>
      </c>
      <c r="D165" t="s">
        <v>31</v>
      </c>
      <c r="E165" t="s">
        <v>82</v>
      </c>
      <c r="F165" t="s">
        <v>19</v>
      </c>
      <c r="G165" t="s">
        <v>27</v>
      </c>
      <c r="H165">
        <v>92.39</v>
      </c>
      <c r="I165">
        <v>584.53</v>
      </c>
      <c r="J165">
        <v>6326.81</v>
      </c>
      <c r="K165" t="s">
        <v>34</v>
      </c>
      <c r="L165" t="s">
        <v>41</v>
      </c>
      <c r="M165">
        <v>222.57</v>
      </c>
      <c r="N165">
        <v>838.71</v>
      </c>
      <c r="O165" t="s">
        <v>70</v>
      </c>
      <c r="P165">
        <v>25.51</v>
      </c>
    </row>
    <row r="166" spans="1:16" x14ac:dyDescent="0.25">
      <c r="A166" t="s">
        <v>231</v>
      </c>
      <c r="B166" s="1">
        <v>41234</v>
      </c>
      <c r="C166">
        <v>2012</v>
      </c>
      <c r="D166" t="s">
        <v>103</v>
      </c>
      <c r="E166" t="s">
        <v>107</v>
      </c>
      <c r="F166" t="s">
        <v>38</v>
      </c>
      <c r="G166" t="s">
        <v>39</v>
      </c>
      <c r="H166">
        <v>98.89</v>
      </c>
      <c r="I166">
        <v>320.58</v>
      </c>
      <c r="J166">
        <v>3241.75</v>
      </c>
      <c r="K166" t="s">
        <v>28</v>
      </c>
      <c r="L166" t="s">
        <v>47</v>
      </c>
      <c r="M166">
        <v>239.34</v>
      </c>
      <c r="N166">
        <v>1001.99</v>
      </c>
      <c r="O166" t="s">
        <v>42</v>
      </c>
      <c r="P166">
        <v>31.43</v>
      </c>
    </row>
    <row r="167" spans="1:16" x14ac:dyDescent="0.25">
      <c r="A167" t="s">
        <v>232</v>
      </c>
      <c r="B167" s="1">
        <v>44614</v>
      </c>
      <c r="C167">
        <v>2021</v>
      </c>
      <c r="D167" t="s">
        <v>36</v>
      </c>
      <c r="E167" t="s">
        <v>77</v>
      </c>
      <c r="F167" t="s">
        <v>38</v>
      </c>
      <c r="G167" t="s">
        <v>64</v>
      </c>
      <c r="H167">
        <v>91.81</v>
      </c>
      <c r="I167">
        <v>153.62</v>
      </c>
      <c r="J167">
        <v>1673.25</v>
      </c>
      <c r="K167" t="s">
        <v>40</v>
      </c>
      <c r="L167" t="s">
        <v>22</v>
      </c>
      <c r="M167">
        <v>193.18</v>
      </c>
      <c r="N167">
        <v>349.85</v>
      </c>
      <c r="O167" t="s">
        <v>70</v>
      </c>
      <c r="P167">
        <v>32.82</v>
      </c>
    </row>
    <row r="168" spans="1:16" x14ac:dyDescent="0.25">
      <c r="A168" t="s">
        <v>233</v>
      </c>
      <c r="B168" s="1">
        <v>44322</v>
      </c>
      <c r="C168">
        <v>2021</v>
      </c>
      <c r="D168" t="s">
        <v>17</v>
      </c>
      <c r="E168" t="s">
        <v>18</v>
      </c>
      <c r="F168" t="s">
        <v>19</v>
      </c>
      <c r="G168" t="s">
        <v>46</v>
      </c>
      <c r="H168">
        <v>10</v>
      </c>
      <c r="I168">
        <v>40.619999999999997</v>
      </c>
      <c r="J168">
        <v>4062.25</v>
      </c>
      <c r="K168" t="s">
        <v>21</v>
      </c>
      <c r="L168" t="s">
        <v>29</v>
      </c>
      <c r="M168">
        <v>163.36000000000001</v>
      </c>
      <c r="N168">
        <v>713.25</v>
      </c>
      <c r="O168" t="s">
        <v>52</v>
      </c>
      <c r="P168">
        <v>28.46</v>
      </c>
    </row>
    <row r="169" spans="1:16" x14ac:dyDescent="0.25">
      <c r="A169" t="s">
        <v>234</v>
      </c>
      <c r="B169" s="1">
        <v>44486</v>
      </c>
      <c r="C169">
        <v>2021</v>
      </c>
      <c r="D169" t="s">
        <v>17</v>
      </c>
      <c r="E169" t="s">
        <v>72</v>
      </c>
      <c r="F169" t="s">
        <v>33</v>
      </c>
      <c r="G169" t="s">
        <v>46</v>
      </c>
      <c r="H169">
        <v>26.19</v>
      </c>
      <c r="I169">
        <v>26.66</v>
      </c>
      <c r="J169">
        <v>1018.09</v>
      </c>
      <c r="K169" t="s">
        <v>40</v>
      </c>
      <c r="L169" t="s">
        <v>22</v>
      </c>
      <c r="M169">
        <v>194.58</v>
      </c>
      <c r="N169">
        <v>245.29</v>
      </c>
      <c r="O169" t="s">
        <v>70</v>
      </c>
      <c r="P169">
        <v>30.51</v>
      </c>
    </row>
    <row r="170" spans="1:16" x14ac:dyDescent="0.25">
      <c r="A170" t="s">
        <v>235</v>
      </c>
      <c r="B170" s="1">
        <v>40579</v>
      </c>
      <c r="C170">
        <v>2010</v>
      </c>
      <c r="D170" t="s">
        <v>25</v>
      </c>
      <c r="E170" t="s">
        <v>87</v>
      </c>
      <c r="F170" t="s">
        <v>38</v>
      </c>
      <c r="G170" t="s">
        <v>46</v>
      </c>
      <c r="H170">
        <v>18.82</v>
      </c>
      <c r="I170">
        <v>34.11</v>
      </c>
      <c r="J170">
        <v>1812.57</v>
      </c>
      <c r="K170" t="s">
        <v>28</v>
      </c>
      <c r="L170" t="s">
        <v>29</v>
      </c>
      <c r="M170">
        <v>143.62</v>
      </c>
      <c r="N170">
        <v>1091.33</v>
      </c>
      <c r="O170" t="s">
        <v>52</v>
      </c>
      <c r="P170">
        <v>33.04</v>
      </c>
    </row>
    <row r="171" spans="1:16" x14ac:dyDescent="0.25">
      <c r="A171" t="s">
        <v>236</v>
      </c>
      <c r="B171" s="1">
        <v>43936</v>
      </c>
      <c r="C171">
        <v>2020</v>
      </c>
      <c r="D171" t="s">
        <v>25</v>
      </c>
      <c r="E171" t="s">
        <v>69</v>
      </c>
      <c r="F171" t="s">
        <v>19</v>
      </c>
      <c r="G171" t="s">
        <v>56</v>
      </c>
      <c r="H171">
        <v>65.7</v>
      </c>
      <c r="I171">
        <v>202.79</v>
      </c>
      <c r="J171">
        <v>3086.62</v>
      </c>
      <c r="K171" t="s">
        <v>40</v>
      </c>
      <c r="L171" t="s">
        <v>22</v>
      </c>
      <c r="M171">
        <v>298.20999999999998</v>
      </c>
      <c r="N171">
        <v>593.05999999999995</v>
      </c>
      <c r="O171" t="s">
        <v>42</v>
      </c>
      <c r="P171">
        <v>30.92</v>
      </c>
    </row>
    <row r="172" spans="1:16" x14ac:dyDescent="0.25">
      <c r="A172" t="s">
        <v>237</v>
      </c>
      <c r="B172" s="1">
        <v>41992</v>
      </c>
      <c r="C172">
        <v>2014</v>
      </c>
      <c r="D172" t="s">
        <v>44</v>
      </c>
      <c r="E172" t="s">
        <v>45</v>
      </c>
      <c r="F172" t="s">
        <v>38</v>
      </c>
      <c r="G172" t="s">
        <v>39</v>
      </c>
      <c r="H172">
        <v>72.19</v>
      </c>
      <c r="I172">
        <v>255.9</v>
      </c>
      <c r="J172">
        <v>3544.77</v>
      </c>
      <c r="K172" t="s">
        <v>28</v>
      </c>
      <c r="L172" t="s">
        <v>22</v>
      </c>
      <c r="M172">
        <v>255.84</v>
      </c>
      <c r="N172">
        <v>447.51</v>
      </c>
      <c r="O172" t="s">
        <v>70</v>
      </c>
      <c r="P172">
        <v>22.33</v>
      </c>
    </row>
    <row r="173" spans="1:16" x14ac:dyDescent="0.25">
      <c r="A173" t="s">
        <v>238</v>
      </c>
      <c r="B173" s="1">
        <v>42463</v>
      </c>
      <c r="C173">
        <v>2016</v>
      </c>
      <c r="D173" t="s">
        <v>25</v>
      </c>
      <c r="E173" t="s">
        <v>69</v>
      </c>
      <c r="F173" t="s">
        <v>19</v>
      </c>
      <c r="G173" t="s">
        <v>64</v>
      </c>
      <c r="H173">
        <v>24.83</v>
      </c>
      <c r="I173">
        <v>34.86</v>
      </c>
      <c r="J173">
        <v>1403.75</v>
      </c>
      <c r="K173" t="s">
        <v>21</v>
      </c>
      <c r="L173" t="s">
        <v>29</v>
      </c>
      <c r="M173">
        <v>161.61000000000001</v>
      </c>
      <c r="N173">
        <v>872.02</v>
      </c>
      <c r="O173" t="s">
        <v>23</v>
      </c>
      <c r="P173">
        <v>23.67</v>
      </c>
    </row>
    <row r="174" spans="1:16" x14ac:dyDescent="0.25">
      <c r="A174" t="s">
        <v>239</v>
      </c>
      <c r="B174" s="1">
        <v>43334</v>
      </c>
      <c r="C174">
        <v>2018</v>
      </c>
      <c r="D174" t="s">
        <v>36</v>
      </c>
      <c r="E174" t="s">
        <v>37</v>
      </c>
      <c r="F174" t="s">
        <v>33</v>
      </c>
      <c r="G174" t="s">
        <v>64</v>
      </c>
      <c r="H174">
        <v>14.87</v>
      </c>
      <c r="I174">
        <v>103.51</v>
      </c>
      <c r="J174">
        <v>6960.9</v>
      </c>
      <c r="K174" t="s">
        <v>40</v>
      </c>
      <c r="L174" t="s">
        <v>41</v>
      </c>
      <c r="M174">
        <v>253.95</v>
      </c>
      <c r="N174">
        <v>931.52</v>
      </c>
      <c r="O174" t="s">
        <v>70</v>
      </c>
      <c r="P174">
        <v>28.66</v>
      </c>
    </row>
    <row r="175" spans="1:16" x14ac:dyDescent="0.25">
      <c r="A175" t="s">
        <v>240</v>
      </c>
      <c r="B175" s="1">
        <v>43944</v>
      </c>
      <c r="C175">
        <v>2020</v>
      </c>
      <c r="D175" t="s">
        <v>31</v>
      </c>
      <c r="E175" t="s">
        <v>82</v>
      </c>
      <c r="F175" t="s">
        <v>19</v>
      </c>
      <c r="G175" t="s">
        <v>56</v>
      </c>
      <c r="H175">
        <v>41.94</v>
      </c>
      <c r="I175">
        <v>111.18</v>
      </c>
      <c r="J175">
        <v>2650.92</v>
      </c>
      <c r="K175" t="s">
        <v>40</v>
      </c>
      <c r="L175" t="s">
        <v>29</v>
      </c>
      <c r="M175">
        <v>206.5</v>
      </c>
      <c r="N175">
        <v>627.20000000000005</v>
      </c>
      <c r="O175" t="s">
        <v>52</v>
      </c>
      <c r="P175">
        <v>20.7</v>
      </c>
    </row>
    <row r="176" spans="1:16" x14ac:dyDescent="0.25">
      <c r="A176" t="s">
        <v>241</v>
      </c>
      <c r="B176" s="1">
        <v>42140</v>
      </c>
      <c r="C176">
        <v>2015</v>
      </c>
      <c r="D176" t="s">
        <v>44</v>
      </c>
      <c r="E176" t="s">
        <v>67</v>
      </c>
      <c r="F176" t="s">
        <v>19</v>
      </c>
      <c r="G176" t="s">
        <v>46</v>
      </c>
      <c r="H176">
        <v>41.42</v>
      </c>
      <c r="I176">
        <v>115.95</v>
      </c>
      <c r="J176">
        <v>2799.33</v>
      </c>
      <c r="K176" t="s">
        <v>40</v>
      </c>
      <c r="L176" t="s">
        <v>41</v>
      </c>
      <c r="M176">
        <v>238.6</v>
      </c>
      <c r="N176">
        <v>673.52</v>
      </c>
      <c r="O176" t="s">
        <v>42</v>
      </c>
      <c r="P176">
        <v>24.51</v>
      </c>
    </row>
    <row r="177" spans="1:16" x14ac:dyDescent="0.25">
      <c r="A177" t="s">
        <v>242</v>
      </c>
      <c r="B177" s="1">
        <v>40328</v>
      </c>
      <c r="C177">
        <v>2010</v>
      </c>
      <c r="D177" t="s">
        <v>44</v>
      </c>
      <c r="E177" t="s">
        <v>99</v>
      </c>
      <c r="F177" t="s">
        <v>19</v>
      </c>
      <c r="G177" t="s">
        <v>46</v>
      </c>
      <c r="H177">
        <v>96.81</v>
      </c>
      <c r="I177">
        <v>420.52</v>
      </c>
      <c r="J177">
        <v>4343.72</v>
      </c>
      <c r="K177" t="s">
        <v>40</v>
      </c>
      <c r="L177" t="s">
        <v>29</v>
      </c>
      <c r="M177">
        <v>147.1</v>
      </c>
      <c r="N177">
        <v>455</v>
      </c>
      <c r="O177" t="s">
        <v>70</v>
      </c>
      <c r="P177">
        <v>29.7</v>
      </c>
    </row>
    <row r="178" spans="1:16" x14ac:dyDescent="0.25">
      <c r="A178" t="s">
        <v>243</v>
      </c>
      <c r="B178" s="1">
        <v>40682</v>
      </c>
      <c r="C178">
        <v>2011</v>
      </c>
      <c r="D178" t="s">
        <v>44</v>
      </c>
      <c r="E178" t="s">
        <v>99</v>
      </c>
      <c r="F178" t="s">
        <v>19</v>
      </c>
      <c r="G178" t="s">
        <v>39</v>
      </c>
      <c r="H178">
        <v>83.11</v>
      </c>
      <c r="I178">
        <v>108.81</v>
      </c>
      <c r="J178">
        <v>1309.22</v>
      </c>
      <c r="K178" t="s">
        <v>28</v>
      </c>
      <c r="L178" t="s">
        <v>47</v>
      </c>
      <c r="M178">
        <v>218.42</v>
      </c>
      <c r="N178">
        <v>802.92</v>
      </c>
      <c r="O178" t="s">
        <v>23</v>
      </c>
      <c r="P178">
        <v>22.82</v>
      </c>
    </row>
    <row r="179" spans="1:16" x14ac:dyDescent="0.25">
      <c r="A179" t="s">
        <v>244</v>
      </c>
      <c r="B179" s="1">
        <v>43282</v>
      </c>
      <c r="C179">
        <v>2018</v>
      </c>
      <c r="D179" t="s">
        <v>17</v>
      </c>
      <c r="E179" t="s">
        <v>54</v>
      </c>
      <c r="F179" t="s">
        <v>33</v>
      </c>
      <c r="G179" t="s">
        <v>46</v>
      </c>
      <c r="H179">
        <v>21.68</v>
      </c>
      <c r="I179">
        <v>139.66999999999999</v>
      </c>
      <c r="J179">
        <v>6442.2</v>
      </c>
      <c r="K179" t="s">
        <v>34</v>
      </c>
      <c r="L179" t="s">
        <v>29</v>
      </c>
      <c r="M179">
        <v>289.25</v>
      </c>
      <c r="N179">
        <v>215.33</v>
      </c>
      <c r="O179" t="s">
        <v>42</v>
      </c>
      <c r="P179">
        <v>34.43</v>
      </c>
    </row>
    <row r="180" spans="1:16" x14ac:dyDescent="0.25">
      <c r="A180" t="s">
        <v>245</v>
      </c>
      <c r="B180" s="1">
        <v>43575</v>
      </c>
      <c r="C180">
        <v>2019</v>
      </c>
      <c r="D180" t="s">
        <v>103</v>
      </c>
      <c r="E180" t="s">
        <v>228</v>
      </c>
      <c r="F180" t="s">
        <v>19</v>
      </c>
      <c r="G180" t="s">
        <v>56</v>
      </c>
      <c r="H180">
        <v>40.270000000000003</v>
      </c>
      <c r="I180">
        <v>98.1</v>
      </c>
      <c r="J180">
        <v>2435.9899999999998</v>
      </c>
      <c r="K180" t="s">
        <v>34</v>
      </c>
      <c r="L180" t="s">
        <v>49</v>
      </c>
      <c r="M180">
        <v>243.88</v>
      </c>
      <c r="N180">
        <v>580.66</v>
      </c>
      <c r="O180" t="s">
        <v>61</v>
      </c>
      <c r="P180">
        <v>29.73</v>
      </c>
    </row>
    <row r="181" spans="1:16" x14ac:dyDescent="0.25">
      <c r="A181" t="s">
        <v>246</v>
      </c>
      <c r="B181" s="1">
        <v>43096</v>
      </c>
      <c r="C181">
        <v>2017</v>
      </c>
      <c r="D181" t="s">
        <v>31</v>
      </c>
      <c r="E181" t="s">
        <v>117</v>
      </c>
      <c r="F181" t="s">
        <v>38</v>
      </c>
      <c r="G181" t="s">
        <v>64</v>
      </c>
      <c r="H181">
        <v>80.48</v>
      </c>
      <c r="I181">
        <v>429.32</v>
      </c>
      <c r="J181">
        <v>5334.48</v>
      </c>
      <c r="K181" t="s">
        <v>34</v>
      </c>
      <c r="L181" t="s">
        <v>41</v>
      </c>
      <c r="M181">
        <v>278.58</v>
      </c>
      <c r="N181">
        <v>570.70000000000005</v>
      </c>
      <c r="O181" t="s">
        <v>52</v>
      </c>
      <c r="P181">
        <v>20.69</v>
      </c>
    </row>
    <row r="182" spans="1:16" x14ac:dyDescent="0.25">
      <c r="A182" t="s">
        <v>247</v>
      </c>
      <c r="B182" s="1">
        <v>43232</v>
      </c>
      <c r="C182">
        <v>2018</v>
      </c>
      <c r="D182" t="s">
        <v>25</v>
      </c>
      <c r="E182" t="s">
        <v>87</v>
      </c>
      <c r="F182" t="s">
        <v>19</v>
      </c>
      <c r="G182" t="s">
        <v>27</v>
      </c>
      <c r="H182">
        <v>72.28</v>
      </c>
      <c r="I182">
        <v>200.3</v>
      </c>
      <c r="J182">
        <v>2771.15</v>
      </c>
      <c r="K182" t="s">
        <v>40</v>
      </c>
      <c r="L182" t="s">
        <v>49</v>
      </c>
      <c r="M182">
        <v>132.47</v>
      </c>
      <c r="N182">
        <v>579.84</v>
      </c>
      <c r="O182" t="s">
        <v>42</v>
      </c>
      <c r="P182">
        <v>27.49</v>
      </c>
    </row>
    <row r="183" spans="1:16" x14ac:dyDescent="0.25">
      <c r="A183" t="s">
        <v>248</v>
      </c>
      <c r="B183" s="1">
        <v>44343</v>
      </c>
      <c r="C183">
        <v>2021</v>
      </c>
      <c r="D183" t="s">
        <v>31</v>
      </c>
      <c r="E183" t="s">
        <v>32</v>
      </c>
      <c r="F183" t="s">
        <v>19</v>
      </c>
      <c r="G183" t="s">
        <v>39</v>
      </c>
      <c r="H183">
        <v>49.57</v>
      </c>
      <c r="I183">
        <v>99.61</v>
      </c>
      <c r="J183">
        <v>2009.4</v>
      </c>
      <c r="K183" t="s">
        <v>34</v>
      </c>
      <c r="L183" t="s">
        <v>47</v>
      </c>
      <c r="M183">
        <v>92.32</v>
      </c>
      <c r="N183">
        <v>920.31</v>
      </c>
      <c r="O183" t="s">
        <v>52</v>
      </c>
      <c r="P183">
        <v>22.76</v>
      </c>
    </row>
    <row r="184" spans="1:16" x14ac:dyDescent="0.25">
      <c r="A184" t="s">
        <v>249</v>
      </c>
      <c r="B184" s="1">
        <v>43290</v>
      </c>
      <c r="C184">
        <v>2018</v>
      </c>
      <c r="D184" t="s">
        <v>17</v>
      </c>
      <c r="E184" t="s">
        <v>18</v>
      </c>
      <c r="F184" t="s">
        <v>33</v>
      </c>
      <c r="G184" t="s">
        <v>64</v>
      </c>
      <c r="H184">
        <v>94.57</v>
      </c>
      <c r="I184">
        <v>473.73</v>
      </c>
      <c r="J184">
        <v>5009.29</v>
      </c>
      <c r="K184" t="s">
        <v>21</v>
      </c>
      <c r="L184" t="s">
        <v>22</v>
      </c>
      <c r="M184">
        <v>153.1</v>
      </c>
      <c r="N184">
        <v>1042.54</v>
      </c>
      <c r="O184" t="s">
        <v>42</v>
      </c>
      <c r="P184">
        <v>21.02</v>
      </c>
    </row>
    <row r="185" spans="1:16" x14ac:dyDescent="0.25">
      <c r="A185" t="s">
        <v>250</v>
      </c>
      <c r="B185" s="1">
        <v>43043</v>
      </c>
      <c r="C185">
        <v>2017</v>
      </c>
      <c r="D185" t="s">
        <v>103</v>
      </c>
      <c r="E185" t="s">
        <v>228</v>
      </c>
      <c r="F185" t="s">
        <v>38</v>
      </c>
      <c r="G185" t="s">
        <v>64</v>
      </c>
      <c r="H185">
        <v>62.17</v>
      </c>
      <c r="I185">
        <v>310.88</v>
      </c>
      <c r="J185">
        <v>5000.53</v>
      </c>
      <c r="K185" t="s">
        <v>28</v>
      </c>
      <c r="L185" t="s">
        <v>22</v>
      </c>
      <c r="M185">
        <v>214.82</v>
      </c>
      <c r="N185">
        <v>215.73</v>
      </c>
      <c r="O185" t="s">
        <v>61</v>
      </c>
      <c r="P185">
        <v>28.27</v>
      </c>
    </row>
    <row r="186" spans="1:16" x14ac:dyDescent="0.25">
      <c r="A186" t="s">
        <v>251</v>
      </c>
      <c r="B186" s="1">
        <v>41763</v>
      </c>
      <c r="C186">
        <v>2014</v>
      </c>
      <c r="D186" t="s">
        <v>59</v>
      </c>
      <c r="E186" t="s">
        <v>93</v>
      </c>
      <c r="F186" t="s">
        <v>19</v>
      </c>
      <c r="G186" t="s">
        <v>20</v>
      </c>
      <c r="H186">
        <v>2.7</v>
      </c>
      <c r="I186">
        <v>15.87</v>
      </c>
      <c r="J186">
        <v>5878.94</v>
      </c>
      <c r="K186" t="s">
        <v>28</v>
      </c>
      <c r="L186" t="s">
        <v>41</v>
      </c>
      <c r="M186">
        <v>251.54</v>
      </c>
      <c r="N186">
        <v>1109.77</v>
      </c>
      <c r="O186" t="s">
        <v>23</v>
      </c>
      <c r="P186">
        <v>33.770000000000003</v>
      </c>
    </row>
    <row r="187" spans="1:16" x14ac:dyDescent="0.25">
      <c r="A187" t="s">
        <v>252</v>
      </c>
      <c r="B187" s="1">
        <v>43600</v>
      </c>
      <c r="C187">
        <v>2019</v>
      </c>
      <c r="D187" t="s">
        <v>103</v>
      </c>
      <c r="E187" t="s">
        <v>104</v>
      </c>
      <c r="F187" t="s">
        <v>19</v>
      </c>
      <c r="G187" t="s">
        <v>20</v>
      </c>
      <c r="H187">
        <v>81.709999999999994</v>
      </c>
      <c r="I187">
        <v>212.77</v>
      </c>
      <c r="J187">
        <v>2603.9499999999998</v>
      </c>
      <c r="K187" t="s">
        <v>28</v>
      </c>
      <c r="L187" t="s">
        <v>41</v>
      </c>
      <c r="M187">
        <v>69.75</v>
      </c>
      <c r="N187">
        <v>1159.3</v>
      </c>
      <c r="O187" t="s">
        <v>52</v>
      </c>
      <c r="P187">
        <v>28.48</v>
      </c>
    </row>
    <row r="188" spans="1:16" x14ac:dyDescent="0.25">
      <c r="A188" t="s">
        <v>253</v>
      </c>
      <c r="B188" s="1">
        <v>40639</v>
      </c>
      <c r="C188">
        <v>2011</v>
      </c>
      <c r="D188" t="s">
        <v>31</v>
      </c>
      <c r="E188" t="s">
        <v>117</v>
      </c>
      <c r="F188" t="s">
        <v>19</v>
      </c>
      <c r="G188" t="s">
        <v>39</v>
      </c>
      <c r="H188">
        <v>76.2</v>
      </c>
      <c r="I188">
        <v>118.95</v>
      </c>
      <c r="J188">
        <v>1561</v>
      </c>
      <c r="K188" t="s">
        <v>28</v>
      </c>
      <c r="L188" t="s">
        <v>29</v>
      </c>
      <c r="M188">
        <v>144.29</v>
      </c>
      <c r="N188">
        <v>676.01</v>
      </c>
      <c r="O188" t="s">
        <v>23</v>
      </c>
      <c r="P188">
        <v>30.54</v>
      </c>
    </row>
    <row r="189" spans="1:16" x14ac:dyDescent="0.25">
      <c r="A189" t="s">
        <v>254</v>
      </c>
      <c r="B189" s="1">
        <v>44147</v>
      </c>
      <c r="C189">
        <v>2020</v>
      </c>
      <c r="D189" t="s">
        <v>44</v>
      </c>
      <c r="E189" t="s">
        <v>99</v>
      </c>
      <c r="F189" t="s">
        <v>38</v>
      </c>
      <c r="G189" t="s">
        <v>27</v>
      </c>
      <c r="H189">
        <v>97.76</v>
      </c>
      <c r="I189">
        <v>668.98</v>
      </c>
      <c r="J189">
        <v>6843.04</v>
      </c>
      <c r="K189" t="s">
        <v>21</v>
      </c>
      <c r="L189" t="s">
        <v>22</v>
      </c>
      <c r="M189">
        <v>107.44</v>
      </c>
      <c r="N189">
        <v>1101.27</v>
      </c>
      <c r="O189" t="s">
        <v>61</v>
      </c>
      <c r="P189">
        <v>27.13</v>
      </c>
    </row>
    <row r="190" spans="1:16" x14ac:dyDescent="0.25">
      <c r="A190" t="s">
        <v>255</v>
      </c>
      <c r="B190" s="1">
        <v>43236</v>
      </c>
      <c r="C190">
        <v>2018</v>
      </c>
      <c r="D190" t="s">
        <v>17</v>
      </c>
      <c r="E190" t="s">
        <v>72</v>
      </c>
      <c r="F190" t="s">
        <v>19</v>
      </c>
      <c r="G190" t="s">
        <v>39</v>
      </c>
      <c r="H190">
        <v>4.26</v>
      </c>
      <c r="I190">
        <v>28</v>
      </c>
      <c r="J190">
        <v>6572.6</v>
      </c>
      <c r="K190" t="s">
        <v>34</v>
      </c>
      <c r="L190" t="s">
        <v>29</v>
      </c>
      <c r="M190">
        <v>53.91</v>
      </c>
      <c r="N190">
        <v>407.16</v>
      </c>
      <c r="O190" t="s">
        <v>42</v>
      </c>
      <c r="P190">
        <v>31.28</v>
      </c>
    </row>
    <row r="191" spans="1:16" x14ac:dyDescent="0.25">
      <c r="A191" t="s">
        <v>256</v>
      </c>
      <c r="B191" s="1">
        <v>41022</v>
      </c>
      <c r="C191">
        <v>2012</v>
      </c>
      <c r="D191" t="s">
        <v>25</v>
      </c>
      <c r="E191" t="s">
        <v>87</v>
      </c>
      <c r="F191" t="s">
        <v>19</v>
      </c>
      <c r="G191" t="s">
        <v>56</v>
      </c>
      <c r="H191">
        <v>57.1</v>
      </c>
      <c r="I191">
        <v>348.12</v>
      </c>
      <c r="J191">
        <v>6096.65</v>
      </c>
      <c r="K191" t="s">
        <v>34</v>
      </c>
      <c r="L191" t="s">
        <v>22</v>
      </c>
      <c r="M191">
        <v>145.96</v>
      </c>
      <c r="N191">
        <v>939.75</v>
      </c>
      <c r="O191" t="s">
        <v>23</v>
      </c>
      <c r="P191">
        <v>27.51</v>
      </c>
    </row>
    <row r="192" spans="1:16" x14ac:dyDescent="0.25">
      <c r="A192" t="s">
        <v>257</v>
      </c>
      <c r="B192" s="1">
        <v>41541</v>
      </c>
      <c r="C192">
        <v>2013</v>
      </c>
      <c r="D192" t="s">
        <v>25</v>
      </c>
      <c r="E192" t="s">
        <v>87</v>
      </c>
      <c r="F192" t="s">
        <v>33</v>
      </c>
      <c r="G192" t="s">
        <v>20</v>
      </c>
      <c r="H192">
        <v>60.91</v>
      </c>
      <c r="I192">
        <v>285.25</v>
      </c>
      <c r="J192">
        <v>4683.1899999999996</v>
      </c>
      <c r="K192" t="s">
        <v>28</v>
      </c>
      <c r="L192" t="s">
        <v>29</v>
      </c>
      <c r="M192">
        <v>292.23</v>
      </c>
      <c r="N192">
        <v>526.38</v>
      </c>
      <c r="O192" t="s">
        <v>70</v>
      </c>
      <c r="P192">
        <v>31.75</v>
      </c>
    </row>
    <row r="193" spans="1:16" x14ac:dyDescent="0.25">
      <c r="A193" t="s">
        <v>258</v>
      </c>
      <c r="B193" s="1">
        <v>43426</v>
      </c>
      <c r="C193">
        <v>2018</v>
      </c>
      <c r="D193" t="s">
        <v>103</v>
      </c>
      <c r="E193" t="s">
        <v>107</v>
      </c>
      <c r="F193" t="s">
        <v>38</v>
      </c>
      <c r="G193" t="s">
        <v>46</v>
      </c>
      <c r="H193">
        <v>19.39</v>
      </c>
      <c r="I193">
        <v>87.55</v>
      </c>
      <c r="J193">
        <v>4515.25</v>
      </c>
      <c r="K193" t="s">
        <v>28</v>
      </c>
      <c r="L193" t="s">
        <v>49</v>
      </c>
      <c r="M193">
        <v>71.42</v>
      </c>
      <c r="N193">
        <v>818.62</v>
      </c>
      <c r="O193" t="s">
        <v>42</v>
      </c>
      <c r="P193">
        <v>30.7</v>
      </c>
    </row>
    <row r="194" spans="1:16" x14ac:dyDescent="0.25">
      <c r="A194" t="s">
        <v>259</v>
      </c>
      <c r="B194" s="1">
        <v>44304</v>
      </c>
      <c r="C194">
        <v>2021</v>
      </c>
      <c r="D194" t="s">
        <v>103</v>
      </c>
      <c r="E194" t="s">
        <v>107</v>
      </c>
      <c r="F194" t="s">
        <v>19</v>
      </c>
      <c r="G194" t="s">
        <v>56</v>
      </c>
      <c r="H194">
        <v>74.23</v>
      </c>
      <c r="I194">
        <v>215.27</v>
      </c>
      <c r="J194">
        <v>2900.07</v>
      </c>
      <c r="K194" t="s">
        <v>21</v>
      </c>
      <c r="L194" t="s">
        <v>22</v>
      </c>
      <c r="M194">
        <v>72.88</v>
      </c>
      <c r="N194">
        <v>1142.96</v>
      </c>
      <c r="O194" t="s">
        <v>52</v>
      </c>
      <c r="P194">
        <v>25.4</v>
      </c>
    </row>
    <row r="195" spans="1:16" x14ac:dyDescent="0.25">
      <c r="A195" t="s">
        <v>260</v>
      </c>
      <c r="B195" s="1">
        <v>41297</v>
      </c>
      <c r="C195">
        <v>2012</v>
      </c>
      <c r="D195" t="s">
        <v>103</v>
      </c>
      <c r="E195" t="s">
        <v>104</v>
      </c>
      <c r="F195" t="s">
        <v>38</v>
      </c>
      <c r="G195" t="s">
        <v>46</v>
      </c>
      <c r="H195">
        <v>56.14</v>
      </c>
      <c r="I195">
        <v>228.75</v>
      </c>
      <c r="J195">
        <v>4074.65</v>
      </c>
      <c r="K195" t="s">
        <v>21</v>
      </c>
      <c r="L195" t="s">
        <v>29</v>
      </c>
      <c r="M195">
        <v>56.57</v>
      </c>
      <c r="N195">
        <v>553.91</v>
      </c>
      <c r="O195" t="s">
        <v>23</v>
      </c>
      <c r="P195">
        <v>28.95</v>
      </c>
    </row>
    <row r="196" spans="1:16" x14ac:dyDescent="0.25">
      <c r="A196" t="s">
        <v>261</v>
      </c>
      <c r="B196" s="1">
        <v>42743</v>
      </c>
      <c r="C196">
        <v>2016</v>
      </c>
      <c r="D196" t="s">
        <v>25</v>
      </c>
      <c r="E196" t="s">
        <v>87</v>
      </c>
      <c r="F196" t="s">
        <v>38</v>
      </c>
      <c r="G196" t="s">
        <v>64</v>
      </c>
      <c r="H196">
        <v>72.760000000000005</v>
      </c>
      <c r="I196">
        <v>317.02999999999997</v>
      </c>
      <c r="J196">
        <v>4357.22</v>
      </c>
      <c r="K196" t="s">
        <v>40</v>
      </c>
      <c r="L196" t="s">
        <v>49</v>
      </c>
      <c r="M196">
        <v>192.99</v>
      </c>
      <c r="N196">
        <v>369.58</v>
      </c>
      <c r="O196" t="s">
        <v>52</v>
      </c>
      <c r="P196">
        <v>22.54</v>
      </c>
    </row>
    <row r="197" spans="1:16" x14ac:dyDescent="0.25">
      <c r="A197" t="s">
        <v>262</v>
      </c>
      <c r="B197" s="1">
        <v>41187</v>
      </c>
      <c r="C197">
        <v>2012</v>
      </c>
      <c r="D197" t="s">
        <v>31</v>
      </c>
      <c r="E197" t="s">
        <v>32</v>
      </c>
      <c r="F197" t="s">
        <v>33</v>
      </c>
      <c r="G197" t="s">
        <v>56</v>
      </c>
      <c r="H197">
        <v>44.03</v>
      </c>
      <c r="I197">
        <v>155.28</v>
      </c>
      <c r="J197">
        <v>3526.61</v>
      </c>
      <c r="K197" t="s">
        <v>28</v>
      </c>
      <c r="L197" t="s">
        <v>47</v>
      </c>
      <c r="M197">
        <v>245.67</v>
      </c>
      <c r="N197">
        <v>561.12</v>
      </c>
      <c r="O197" t="s">
        <v>42</v>
      </c>
      <c r="P197">
        <v>30.81</v>
      </c>
    </row>
    <row r="198" spans="1:16" x14ac:dyDescent="0.25">
      <c r="A198" t="s">
        <v>263</v>
      </c>
      <c r="B198" s="1">
        <v>42997</v>
      </c>
      <c r="C198">
        <v>2017</v>
      </c>
      <c r="D198" t="s">
        <v>59</v>
      </c>
      <c r="E198" t="s">
        <v>60</v>
      </c>
      <c r="F198" t="s">
        <v>33</v>
      </c>
      <c r="G198" t="s">
        <v>56</v>
      </c>
      <c r="H198">
        <v>31.16</v>
      </c>
      <c r="I198">
        <v>208.55</v>
      </c>
      <c r="J198">
        <v>6692.94</v>
      </c>
      <c r="K198" t="s">
        <v>34</v>
      </c>
      <c r="L198" t="s">
        <v>47</v>
      </c>
      <c r="M198">
        <v>260.39999999999998</v>
      </c>
      <c r="N198">
        <v>579.89</v>
      </c>
      <c r="O198" t="s">
        <v>70</v>
      </c>
      <c r="P198">
        <v>26.6</v>
      </c>
    </row>
    <row r="199" spans="1:16" x14ac:dyDescent="0.25">
      <c r="A199" t="s">
        <v>264</v>
      </c>
      <c r="B199" s="1">
        <v>42145</v>
      </c>
      <c r="C199">
        <v>2015</v>
      </c>
      <c r="D199" t="s">
        <v>103</v>
      </c>
      <c r="E199" t="s">
        <v>107</v>
      </c>
      <c r="F199" t="s">
        <v>19</v>
      </c>
      <c r="G199" t="s">
        <v>39</v>
      </c>
      <c r="H199">
        <v>20.88</v>
      </c>
      <c r="I199">
        <v>60.24</v>
      </c>
      <c r="J199">
        <v>2885.1</v>
      </c>
      <c r="K199" t="s">
        <v>28</v>
      </c>
      <c r="L199" t="s">
        <v>41</v>
      </c>
      <c r="M199">
        <v>292.18</v>
      </c>
      <c r="N199">
        <v>491.45</v>
      </c>
      <c r="O199" t="s">
        <v>52</v>
      </c>
      <c r="P199">
        <v>34.520000000000003</v>
      </c>
    </row>
    <row r="200" spans="1:16" x14ac:dyDescent="0.25">
      <c r="A200" t="s">
        <v>265</v>
      </c>
      <c r="B200" s="1">
        <v>41997</v>
      </c>
      <c r="C200">
        <v>2014</v>
      </c>
      <c r="D200" t="s">
        <v>31</v>
      </c>
      <c r="E200" t="s">
        <v>32</v>
      </c>
      <c r="F200" t="s">
        <v>38</v>
      </c>
      <c r="G200" t="s">
        <v>20</v>
      </c>
      <c r="H200">
        <v>12.27</v>
      </c>
      <c r="I200">
        <v>53.78</v>
      </c>
      <c r="J200">
        <v>4383.1000000000004</v>
      </c>
      <c r="K200" t="s">
        <v>40</v>
      </c>
      <c r="L200" t="s">
        <v>29</v>
      </c>
      <c r="M200">
        <v>220.43</v>
      </c>
      <c r="N200">
        <v>750.1</v>
      </c>
      <c r="O200" t="s">
        <v>52</v>
      </c>
      <c r="P200">
        <v>34.14</v>
      </c>
    </row>
    <row r="201" spans="1:16" x14ac:dyDescent="0.25">
      <c r="A201" t="s">
        <v>266</v>
      </c>
      <c r="B201" s="1">
        <v>44366</v>
      </c>
      <c r="C201">
        <v>2021</v>
      </c>
      <c r="D201" t="s">
        <v>44</v>
      </c>
      <c r="E201" t="s">
        <v>99</v>
      </c>
      <c r="F201" t="s">
        <v>33</v>
      </c>
      <c r="G201" t="s">
        <v>46</v>
      </c>
      <c r="H201">
        <v>67.62</v>
      </c>
      <c r="I201">
        <v>124.09</v>
      </c>
      <c r="J201">
        <v>1835.07</v>
      </c>
      <c r="K201" t="s">
        <v>34</v>
      </c>
      <c r="L201" t="s">
        <v>29</v>
      </c>
      <c r="M201">
        <v>110.51</v>
      </c>
      <c r="N201">
        <v>858.66</v>
      </c>
      <c r="O201" t="s">
        <v>52</v>
      </c>
      <c r="P201">
        <v>31.84</v>
      </c>
    </row>
    <row r="202" spans="1:16" x14ac:dyDescent="0.25">
      <c r="A202" t="s">
        <v>267</v>
      </c>
      <c r="B202" s="1">
        <v>43907</v>
      </c>
      <c r="C202">
        <v>2019</v>
      </c>
      <c r="D202" t="s">
        <v>59</v>
      </c>
      <c r="E202" t="s">
        <v>63</v>
      </c>
      <c r="F202" t="s">
        <v>38</v>
      </c>
      <c r="G202" t="s">
        <v>27</v>
      </c>
      <c r="H202">
        <v>51.15</v>
      </c>
      <c r="I202">
        <v>333.62</v>
      </c>
      <c r="J202">
        <v>6522.35</v>
      </c>
      <c r="K202" t="s">
        <v>28</v>
      </c>
      <c r="L202" t="s">
        <v>47</v>
      </c>
      <c r="M202">
        <v>185.91</v>
      </c>
      <c r="N202">
        <v>990.72</v>
      </c>
      <c r="O202" t="s">
        <v>70</v>
      </c>
      <c r="P202">
        <v>30.52</v>
      </c>
    </row>
    <row r="203" spans="1:16" x14ac:dyDescent="0.25">
      <c r="A203" t="s">
        <v>268</v>
      </c>
      <c r="B203" s="1">
        <v>40779</v>
      </c>
      <c r="C203">
        <v>2011</v>
      </c>
      <c r="D203" t="s">
        <v>17</v>
      </c>
      <c r="E203" t="s">
        <v>18</v>
      </c>
      <c r="F203" t="s">
        <v>33</v>
      </c>
      <c r="G203" t="s">
        <v>39</v>
      </c>
      <c r="H203">
        <v>66.8</v>
      </c>
      <c r="I203">
        <v>133.47</v>
      </c>
      <c r="J203">
        <v>1998.03</v>
      </c>
      <c r="K203" t="s">
        <v>21</v>
      </c>
      <c r="L203" t="s">
        <v>29</v>
      </c>
      <c r="M203">
        <v>190.81</v>
      </c>
      <c r="N203">
        <v>845.03</v>
      </c>
      <c r="O203" t="s">
        <v>52</v>
      </c>
      <c r="P203">
        <v>34.5</v>
      </c>
    </row>
    <row r="204" spans="1:16" x14ac:dyDescent="0.25">
      <c r="A204" t="s">
        <v>269</v>
      </c>
      <c r="B204" s="1">
        <v>40886</v>
      </c>
      <c r="C204">
        <v>2011</v>
      </c>
      <c r="D204" t="s">
        <v>25</v>
      </c>
      <c r="E204" t="s">
        <v>26</v>
      </c>
      <c r="F204" t="s">
        <v>38</v>
      </c>
      <c r="G204" t="s">
        <v>56</v>
      </c>
      <c r="H204">
        <v>51.56</v>
      </c>
      <c r="I204">
        <v>212.06</v>
      </c>
      <c r="J204">
        <v>4112.79</v>
      </c>
      <c r="K204" t="s">
        <v>40</v>
      </c>
      <c r="L204" t="s">
        <v>49</v>
      </c>
      <c r="M204">
        <v>161.44</v>
      </c>
      <c r="N204">
        <v>591.13</v>
      </c>
      <c r="O204" t="s">
        <v>61</v>
      </c>
      <c r="P204">
        <v>30.36</v>
      </c>
    </row>
    <row r="205" spans="1:16" x14ac:dyDescent="0.25">
      <c r="A205" t="s">
        <v>270</v>
      </c>
      <c r="B205" s="1">
        <v>40937</v>
      </c>
      <c r="C205">
        <v>2011</v>
      </c>
      <c r="D205" t="s">
        <v>25</v>
      </c>
      <c r="E205" t="s">
        <v>87</v>
      </c>
      <c r="F205" t="s">
        <v>38</v>
      </c>
      <c r="G205" t="s">
        <v>46</v>
      </c>
      <c r="H205">
        <v>92.13</v>
      </c>
      <c r="I205">
        <v>139.59</v>
      </c>
      <c r="J205">
        <v>1515.13</v>
      </c>
      <c r="K205" t="s">
        <v>40</v>
      </c>
      <c r="L205" t="s">
        <v>29</v>
      </c>
      <c r="M205">
        <v>137.08000000000001</v>
      </c>
      <c r="N205">
        <v>543.07000000000005</v>
      </c>
      <c r="O205" t="s">
        <v>42</v>
      </c>
      <c r="P205">
        <v>27.82</v>
      </c>
    </row>
    <row r="206" spans="1:16" x14ac:dyDescent="0.25">
      <c r="A206" t="s">
        <v>271</v>
      </c>
      <c r="B206" s="1">
        <v>44297</v>
      </c>
      <c r="C206">
        <v>2021</v>
      </c>
      <c r="D206" t="s">
        <v>25</v>
      </c>
      <c r="E206" t="s">
        <v>87</v>
      </c>
      <c r="F206" t="s">
        <v>19</v>
      </c>
      <c r="G206" t="s">
        <v>46</v>
      </c>
      <c r="H206">
        <v>32.57</v>
      </c>
      <c r="I206">
        <v>91.25</v>
      </c>
      <c r="J206">
        <v>2801.58</v>
      </c>
      <c r="K206" t="s">
        <v>21</v>
      </c>
      <c r="L206" t="s">
        <v>41</v>
      </c>
      <c r="M206">
        <v>55.65</v>
      </c>
      <c r="N206">
        <v>543.08000000000004</v>
      </c>
      <c r="O206" t="s">
        <v>23</v>
      </c>
      <c r="P206">
        <v>30.16</v>
      </c>
    </row>
    <row r="207" spans="1:16" x14ac:dyDescent="0.25">
      <c r="A207" t="s">
        <v>272</v>
      </c>
      <c r="B207" s="1">
        <v>43362</v>
      </c>
      <c r="C207">
        <v>2018</v>
      </c>
      <c r="D207" t="s">
        <v>59</v>
      </c>
      <c r="E207" t="s">
        <v>60</v>
      </c>
      <c r="F207" t="s">
        <v>33</v>
      </c>
      <c r="G207" t="s">
        <v>20</v>
      </c>
      <c r="H207">
        <v>56.43</v>
      </c>
      <c r="I207">
        <v>380.95</v>
      </c>
      <c r="J207">
        <v>6750.78</v>
      </c>
      <c r="K207" t="s">
        <v>40</v>
      </c>
      <c r="L207" t="s">
        <v>29</v>
      </c>
      <c r="M207">
        <v>249.44</v>
      </c>
      <c r="N207">
        <v>829.76</v>
      </c>
      <c r="O207" t="s">
        <v>42</v>
      </c>
      <c r="P207">
        <v>29.61</v>
      </c>
    </row>
    <row r="208" spans="1:16" x14ac:dyDescent="0.25">
      <c r="A208" t="s">
        <v>273</v>
      </c>
      <c r="B208" s="1">
        <v>43754</v>
      </c>
      <c r="C208">
        <v>2019</v>
      </c>
      <c r="D208" t="s">
        <v>25</v>
      </c>
      <c r="E208" t="s">
        <v>69</v>
      </c>
      <c r="F208" t="s">
        <v>33</v>
      </c>
      <c r="G208" t="s">
        <v>46</v>
      </c>
      <c r="H208">
        <v>59.63</v>
      </c>
      <c r="I208">
        <v>198.75</v>
      </c>
      <c r="J208">
        <v>3333.01</v>
      </c>
      <c r="K208" t="s">
        <v>40</v>
      </c>
      <c r="L208" t="s">
        <v>41</v>
      </c>
      <c r="M208">
        <v>101.45</v>
      </c>
      <c r="N208">
        <v>952.33</v>
      </c>
      <c r="O208" t="s">
        <v>23</v>
      </c>
      <c r="P208">
        <v>28.66</v>
      </c>
    </row>
    <row r="209" spans="1:16" x14ac:dyDescent="0.25">
      <c r="A209" t="s">
        <v>274</v>
      </c>
      <c r="B209" s="1">
        <v>41669</v>
      </c>
      <c r="C209">
        <v>2013</v>
      </c>
      <c r="D209" t="s">
        <v>31</v>
      </c>
      <c r="E209" t="s">
        <v>32</v>
      </c>
      <c r="F209" t="s">
        <v>38</v>
      </c>
      <c r="G209" t="s">
        <v>64</v>
      </c>
      <c r="H209">
        <v>26.97</v>
      </c>
      <c r="I209">
        <v>166.56</v>
      </c>
      <c r="J209">
        <v>6175.82</v>
      </c>
      <c r="K209" t="s">
        <v>34</v>
      </c>
      <c r="L209" t="s">
        <v>29</v>
      </c>
      <c r="M209">
        <v>199.24</v>
      </c>
      <c r="N209">
        <v>811.31</v>
      </c>
      <c r="O209" t="s">
        <v>61</v>
      </c>
      <c r="P209">
        <v>21.71</v>
      </c>
    </row>
    <row r="210" spans="1:16" x14ac:dyDescent="0.25">
      <c r="A210" t="s">
        <v>275</v>
      </c>
      <c r="B210" s="1">
        <v>43966</v>
      </c>
      <c r="C210">
        <v>2020</v>
      </c>
      <c r="D210" t="s">
        <v>59</v>
      </c>
      <c r="E210" t="s">
        <v>60</v>
      </c>
      <c r="F210" t="s">
        <v>19</v>
      </c>
      <c r="G210" t="s">
        <v>20</v>
      </c>
      <c r="H210">
        <v>91.95</v>
      </c>
      <c r="I210">
        <v>417.55</v>
      </c>
      <c r="J210">
        <v>4541.01</v>
      </c>
      <c r="K210" t="s">
        <v>40</v>
      </c>
      <c r="L210" t="s">
        <v>41</v>
      </c>
      <c r="M210">
        <v>128.30000000000001</v>
      </c>
      <c r="N210">
        <v>438.57</v>
      </c>
      <c r="O210" t="s">
        <v>23</v>
      </c>
      <c r="P210">
        <v>22.75</v>
      </c>
    </row>
    <row r="211" spans="1:16" x14ac:dyDescent="0.25">
      <c r="A211" t="s">
        <v>276</v>
      </c>
      <c r="B211" s="1">
        <v>42492</v>
      </c>
      <c r="C211">
        <v>2016</v>
      </c>
      <c r="D211" t="s">
        <v>59</v>
      </c>
      <c r="E211" t="s">
        <v>63</v>
      </c>
      <c r="F211" t="s">
        <v>19</v>
      </c>
      <c r="G211" t="s">
        <v>56</v>
      </c>
      <c r="H211">
        <v>57.91</v>
      </c>
      <c r="I211">
        <v>204.9</v>
      </c>
      <c r="J211">
        <v>3538.23</v>
      </c>
      <c r="K211" t="s">
        <v>28</v>
      </c>
      <c r="L211" t="s">
        <v>49</v>
      </c>
      <c r="M211">
        <v>208.88</v>
      </c>
      <c r="N211">
        <v>893.43</v>
      </c>
      <c r="O211" t="s">
        <v>42</v>
      </c>
      <c r="P211">
        <v>28.32</v>
      </c>
    </row>
    <row r="212" spans="1:16" x14ac:dyDescent="0.25">
      <c r="A212" t="s">
        <v>277</v>
      </c>
      <c r="B212" s="1">
        <v>42438</v>
      </c>
      <c r="C212">
        <v>2015</v>
      </c>
      <c r="D212" t="s">
        <v>103</v>
      </c>
      <c r="E212" t="s">
        <v>104</v>
      </c>
      <c r="F212" t="s">
        <v>38</v>
      </c>
      <c r="G212" t="s">
        <v>27</v>
      </c>
      <c r="H212">
        <v>6.31</v>
      </c>
      <c r="I212">
        <v>19.899999999999999</v>
      </c>
      <c r="J212">
        <v>3154.24</v>
      </c>
      <c r="K212" t="s">
        <v>21</v>
      </c>
      <c r="L212" t="s">
        <v>29</v>
      </c>
      <c r="M212">
        <v>171.15</v>
      </c>
      <c r="N212">
        <v>395.13</v>
      </c>
      <c r="O212" t="s">
        <v>52</v>
      </c>
      <c r="P212">
        <v>34.46</v>
      </c>
    </row>
    <row r="213" spans="1:16" x14ac:dyDescent="0.25">
      <c r="A213" t="s">
        <v>278</v>
      </c>
      <c r="B213" s="1">
        <v>43110</v>
      </c>
      <c r="C213">
        <v>2017</v>
      </c>
      <c r="D213" t="s">
        <v>36</v>
      </c>
      <c r="E213" t="s">
        <v>77</v>
      </c>
      <c r="F213" t="s">
        <v>38</v>
      </c>
      <c r="G213" t="s">
        <v>39</v>
      </c>
      <c r="H213">
        <v>84.15</v>
      </c>
      <c r="I213">
        <v>330.89</v>
      </c>
      <c r="J213">
        <v>3932.2</v>
      </c>
      <c r="K213" t="s">
        <v>21</v>
      </c>
      <c r="L213" t="s">
        <v>41</v>
      </c>
      <c r="M213">
        <v>191.35</v>
      </c>
      <c r="N213">
        <v>995.88</v>
      </c>
      <c r="O213" t="s">
        <v>42</v>
      </c>
      <c r="P213">
        <v>24.38</v>
      </c>
    </row>
    <row r="214" spans="1:16" x14ac:dyDescent="0.25">
      <c r="A214" t="s">
        <v>279</v>
      </c>
      <c r="B214" s="1">
        <v>41307</v>
      </c>
      <c r="C214">
        <v>2012</v>
      </c>
      <c r="D214" t="s">
        <v>59</v>
      </c>
      <c r="E214" t="s">
        <v>63</v>
      </c>
      <c r="F214" t="s">
        <v>38</v>
      </c>
      <c r="G214" t="s">
        <v>27</v>
      </c>
      <c r="H214">
        <v>74.510000000000005</v>
      </c>
      <c r="I214">
        <v>416.92</v>
      </c>
      <c r="J214">
        <v>5595.52</v>
      </c>
      <c r="K214" t="s">
        <v>21</v>
      </c>
      <c r="L214" t="s">
        <v>47</v>
      </c>
      <c r="M214">
        <v>193.18</v>
      </c>
      <c r="N214">
        <v>467.89</v>
      </c>
      <c r="O214" t="s">
        <v>61</v>
      </c>
      <c r="P214">
        <v>32.35</v>
      </c>
    </row>
    <row r="215" spans="1:16" x14ac:dyDescent="0.25">
      <c r="A215" t="s">
        <v>280</v>
      </c>
      <c r="B215" s="1">
        <v>44654</v>
      </c>
      <c r="C215">
        <v>2022</v>
      </c>
      <c r="D215" t="s">
        <v>44</v>
      </c>
      <c r="E215" t="s">
        <v>45</v>
      </c>
      <c r="F215" t="s">
        <v>19</v>
      </c>
      <c r="G215" t="s">
        <v>46</v>
      </c>
      <c r="H215">
        <v>55.09</v>
      </c>
      <c r="I215">
        <v>382.25</v>
      </c>
      <c r="J215">
        <v>6938.65</v>
      </c>
      <c r="K215" t="s">
        <v>21</v>
      </c>
      <c r="L215" t="s">
        <v>29</v>
      </c>
      <c r="M215">
        <v>234</v>
      </c>
      <c r="N215">
        <v>853.67</v>
      </c>
      <c r="O215" t="s">
        <v>42</v>
      </c>
      <c r="P215">
        <v>24.47</v>
      </c>
    </row>
    <row r="216" spans="1:16" x14ac:dyDescent="0.25">
      <c r="A216" t="s">
        <v>281</v>
      </c>
      <c r="B216" s="1">
        <v>40883</v>
      </c>
      <c r="C216">
        <v>2011</v>
      </c>
      <c r="D216" t="s">
        <v>31</v>
      </c>
      <c r="E216" t="s">
        <v>32</v>
      </c>
      <c r="F216" t="s">
        <v>38</v>
      </c>
      <c r="G216" t="s">
        <v>64</v>
      </c>
      <c r="H216">
        <v>77.790000000000006</v>
      </c>
      <c r="I216">
        <v>188.38</v>
      </c>
      <c r="J216">
        <v>2421.6799999999998</v>
      </c>
      <c r="K216" t="s">
        <v>34</v>
      </c>
      <c r="L216" t="s">
        <v>41</v>
      </c>
      <c r="M216">
        <v>265.26</v>
      </c>
      <c r="N216">
        <v>810.26</v>
      </c>
      <c r="O216" t="s">
        <v>52</v>
      </c>
      <c r="P216">
        <v>22.49</v>
      </c>
    </row>
    <row r="217" spans="1:16" x14ac:dyDescent="0.25">
      <c r="A217" t="s">
        <v>282</v>
      </c>
      <c r="B217" s="1">
        <v>44844</v>
      </c>
      <c r="C217">
        <v>2022</v>
      </c>
      <c r="D217" t="s">
        <v>44</v>
      </c>
      <c r="E217" t="s">
        <v>45</v>
      </c>
      <c r="F217" t="s">
        <v>33</v>
      </c>
      <c r="G217" t="s">
        <v>27</v>
      </c>
      <c r="H217">
        <v>35.729999999999997</v>
      </c>
      <c r="I217">
        <v>95.99</v>
      </c>
      <c r="J217">
        <v>2686.51</v>
      </c>
      <c r="K217" t="s">
        <v>40</v>
      </c>
      <c r="L217" t="s">
        <v>22</v>
      </c>
      <c r="M217">
        <v>130.91</v>
      </c>
      <c r="N217">
        <v>904.05</v>
      </c>
      <c r="O217" t="s">
        <v>70</v>
      </c>
      <c r="P217">
        <v>28.59</v>
      </c>
    </row>
    <row r="218" spans="1:16" x14ac:dyDescent="0.25">
      <c r="A218" t="s">
        <v>283</v>
      </c>
      <c r="B218" s="1">
        <v>40583</v>
      </c>
      <c r="C218">
        <v>2010</v>
      </c>
      <c r="D218" t="s">
        <v>103</v>
      </c>
      <c r="E218" t="s">
        <v>107</v>
      </c>
      <c r="F218" t="s">
        <v>38</v>
      </c>
      <c r="G218" t="s">
        <v>39</v>
      </c>
      <c r="H218">
        <v>13.56</v>
      </c>
      <c r="I218">
        <v>84.02</v>
      </c>
      <c r="J218">
        <v>6196.47</v>
      </c>
      <c r="K218" t="s">
        <v>40</v>
      </c>
      <c r="L218" t="s">
        <v>29</v>
      </c>
      <c r="M218">
        <v>86.56</v>
      </c>
      <c r="N218">
        <v>522.1</v>
      </c>
      <c r="O218" t="s">
        <v>42</v>
      </c>
      <c r="P218">
        <v>31.42</v>
      </c>
    </row>
    <row r="219" spans="1:16" x14ac:dyDescent="0.25">
      <c r="A219" t="s">
        <v>284</v>
      </c>
      <c r="B219" s="1">
        <v>44260</v>
      </c>
      <c r="C219">
        <v>2020</v>
      </c>
      <c r="D219" t="s">
        <v>103</v>
      </c>
      <c r="E219" t="s">
        <v>228</v>
      </c>
      <c r="F219" t="s">
        <v>38</v>
      </c>
      <c r="G219" t="s">
        <v>39</v>
      </c>
      <c r="H219">
        <v>42.01</v>
      </c>
      <c r="I219">
        <v>155.94</v>
      </c>
      <c r="J219">
        <v>3711.95</v>
      </c>
      <c r="K219" t="s">
        <v>21</v>
      </c>
      <c r="L219" t="s">
        <v>49</v>
      </c>
      <c r="M219">
        <v>150.71</v>
      </c>
      <c r="N219">
        <v>949.8</v>
      </c>
      <c r="O219" t="s">
        <v>70</v>
      </c>
      <c r="P219">
        <v>26.82</v>
      </c>
    </row>
    <row r="220" spans="1:16" x14ac:dyDescent="0.25">
      <c r="A220" t="s">
        <v>285</v>
      </c>
      <c r="B220" s="1">
        <v>44679</v>
      </c>
      <c r="C220">
        <v>2022</v>
      </c>
      <c r="D220" t="s">
        <v>59</v>
      </c>
      <c r="E220" t="s">
        <v>60</v>
      </c>
      <c r="F220" t="s">
        <v>19</v>
      </c>
      <c r="G220" t="s">
        <v>64</v>
      </c>
      <c r="H220">
        <v>73.36</v>
      </c>
      <c r="I220">
        <v>275.14999999999998</v>
      </c>
      <c r="J220">
        <v>3750.7</v>
      </c>
      <c r="K220" t="s">
        <v>34</v>
      </c>
      <c r="L220" t="s">
        <v>41</v>
      </c>
      <c r="M220">
        <v>262.52999999999997</v>
      </c>
      <c r="N220">
        <v>995.68</v>
      </c>
      <c r="O220" t="s">
        <v>52</v>
      </c>
      <c r="P220">
        <v>23.27</v>
      </c>
    </row>
    <row r="221" spans="1:16" x14ac:dyDescent="0.25">
      <c r="A221" t="s">
        <v>286</v>
      </c>
      <c r="B221" s="1">
        <v>42426</v>
      </c>
      <c r="C221">
        <v>2015</v>
      </c>
      <c r="D221" t="s">
        <v>36</v>
      </c>
      <c r="E221" t="s">
        <v>51</v>
      </c>
      <c r="F221" t="s">
        <v>38</v>
      </c>
      <c r="G221" t="s">
        <v>20</v>
      </c>
      <c r="H221">
        <v>55.18</v>
      </c>
      <c r="I221">
        <v>98.42</v>
      </c>
      <c r="J221">
        <v>1783.57</v>
      </c>
      <c r="K221" t="s">
        <v>28</v>
      </c>
      <c r="L221" t="s">
        <v>22</v>
      </c>
      <c r="M221">
        <v>247.08</v>
      </c>
      <c r="N221">
        <v>1094.1500000000001</v>
      </c>
      <c r="O221" t="s">
        <v>23</v>
      </c>
      <c r="P221">
        <v>20.69</v>
      </c>
    </row>
    <row r="222" spans="1:16" x14ac:dyDescent="0.25">
      <c r="A222" t="s">
        <v>287</v>
      </c>
      <c r="B222" s="1">
        <v>43132</v>
      </c>
      <c r="C222">
        <v>2017</v>
      </c>
      <c r="D222" t="s">
        <v>25</v>
      </c>
      <c r="E222" t="s">
        <v>26</v>
      </c>
      <c r="F222" t="s">
        <v>38</v>
      </c>
      <c r="G222" t="s">
        <v>64</v>
      </c>
      <c r="H222">
        <v>99.19</v>
      </c>
      <c r="I222">
        <v>353.79</v>
      </c>
      <c r="J222">
        <v>3566.8</v>
      </c>
      <c r="K222" t="s">
        <v>40</v>
      </c>
      <c r="L222" t="s">
        <v>49</v>
      </c>
      <c r="M222">
        <v>270.54000000000002</v>
      </c>
      <c r="N222">
        <v>501.87</v>
      </c>
      <c r="O222" t="s">
        <v>70</v>
      </c>
      <c r="P222">
        <v>21.4</v>
      </c>
    </row>
    <row r="223" spans="1:16" x14ac:dyDescent="0.25">
      <c r="A223" t="s">
        <v>288</v>
      </c>
      <c r="B223" s="1">
        <v>43952</v>
      </c>
      <c r="C223">
        <v>2020</v>
      </c>
      <c r="D223" t="s">
        <v>25</v>
      </c>
      <c r="E223" t="s">
        <v>87</v>
      </c>
      <c r="F223" t="s">
        <v>19</v>
      </c>
      <c r="G223" t="s">
        <v>56</v>
      </c>
      <c r="H223">
        <v>6.13</v>
      </c>
      <c r="I223">
        <v>29.14</v>
      </c>
      <c r="J223">
        <v>4753.63</v>
      </c>
      <c r="K223" t="s">
        <v>40</v>
      </c>
      <c r="L223" t="s">
        <v>22</v>
      </c>
      <c r="M223">
        <v>157.31</v>
      </c>
      <c r="N223">
        <v>291.2</v>
      </c>
      <c r="O223" t="s">
        <v>23</v>
      </c>
      <c r="P223">
        <v>20.02</v>
      </c>
    </row>
    <row r="224" spans="1:16" x14ac:dyDescent="0.25">
      <c r="A224" t="s">
        <v>289</v>
      </c>
      <c r="B224" s="1">
        <v>41395</v>
      </c>
      <c r="C224">
        <v>2013</v>
      </c>
      <c r="D224" t="s">
        <v>103</v>
      </c>
      <c r="E224" t="s">
        <v>228</v>
      </c>
      <c r="F224" t="s">
        <v>19</v>
      </c>
      <c r="G224" t="s">
        <v>39</v>
      </c>
      <c r="H224">
        <v>45.06</v>
      </c>
      <c r="I224">
        <v>47.24</v>
      </c>
      <c r="J224">
        <v>1048.3800000000001</v>
      </c>
      <c r="K224" t="s">
        <v>34</v>
      </c>
      <c r="L224" t="s">
        <v>22</v>
      </c>
      <c r="M224">
        <v>254.28</v>
      </c>
      <c r="N224">
        <v>1188.1500000000001</v>
      </c>
      <c r="O224" t="s">
        <v>52</v>
      </c>
      <c r="P224">
        <v>30.41</v>
      </c>
    </row>
    <row r="225" spans="1:16" x14ac:dyDescent="0.25">
      <c r="A225" t="s">
        <v>290</v>
      </c>
      <c r="B225" s="1">
        <v>40677</v>
      </c>
      <c r="C225">
        <v>2011</v>
      </c>
      <c r="D225" t="s">
        <v>103</v>
      </c>
      <c r="E225" t="s">
        <v>107</v>
      </c>
      <c r="F225" t="s">
        <v>19</v>
      </c>
      <c r="G225" t="s">
        <v>64</v>
      </c>
      <c r="H225">
        <v>11.22</v>
      </c>
      <c r="I225">
        <v>35.96</v>
      </c>
      <c r="J225">
        <v>3205.37</v>
      </c>
      <c r="K225" t="s">
        <v>34</v>
      </c>
      <c r="L225" t="s">
        <v>41</v>
      </c>
      <c r="M225">
        <v>84.28</v>
      </c>
      <c r="N225">
        <v>973.46</v>
      </c>
      <c r="O225" t="s">
        <v>42</v>
      </c>
      <c r="P225">
        <v>29.62</v>
      </c>
    </row>
    <row r="226" spans="1:16" x14ac:dyDescent="0.25">
      <c r="A226" t="s">
        <v>291</v>
      </c>
      <c r="B226" s="1">
        <v>43730</v>
      </c>
      <c r="C226">
        <v>2019</v>
      </c>
      <c r="D226" t="s">
        <v>25</v>
      </c>
      <c r="E226" t="s">
        <v>69</v>
      </c>
      <c r="F226" t="s">
        <v>33</v>
      </c>
      <c r="G226" t="s">
        <v>27</v>
      </c>
      <c r="H226">
        <v>65.349999999999994</v>
      </c>
      <c r="I226">
        <v>237.91</v>
      </c>
      <c r="J226">
        <v>3640.6</v>
      </c>
      <c r="K226" t="s">
        <v>40</v>
      </c>
      <c r="L226" t="s">
        <v>41</v>
      </c>
      <c r="M226">
        <v>207.02</v>
      </c>
      <c r="N226">
        <v>351.37</v>
      </c>
      <c r="O226" t="s">
        <v>52</v>
      </c>
      <c r="P226">
        <v>29.24</v>
      </c>
    </row>
    <row r="227" spans="1:16" x14ac:dyDescent="0.25">
      <c r="A227" t="s">
        <v>292</v>
      </c>
      <c r="B227" s="1">
        <v>41124</v>
      </c>
      <c r="C227">
        <v>2012</v>
      </c>
      <c r="D227" t="s">
        <v>25</v>
      </c>
      <c r="E227" t="s">
        <v>26</v>
      </c>
      <c r="F227" t="s">
        <v>33</v>
      </c>
      <c r="G227" t="s">
        <v>27</v>
      </c>
      <c r="H227">
        <v>73.27</v>
      </c>
      <c r="I227">
        <v>227.81</v>
      </c>
      <c r="J227">
        <v>3109.21</v>
      </c>
      <c r="K227" t="s">
        <v>28</v>
      </c>
      <c r="L227" t="s">
        <v>47</v>
      </c>
      <c r="M227">
        <v>128.63</v>
      </c>
      <c r="N227">
        <v>339.83</v>
      </c>
      <c r="O227" t="s">
        <v>70</v>
      </c>
      <c r="P227">
        <v>29.67</v>
      </c>
    </row>
    <row r="228" spans="1:16" x14ac:dyDescent="0.25">
      <c r="A228" t="s">
        <v>293</v>
      </c>
      <c r="B228" s="1">
        <v>44305</v>
      </c>
      <c r="C228">
        <v>2021</v>
      </c>
      <c r="D228" t="s">
        <v>59</v>
      </c>
      <c r="E228" t="s">
        <v>93</v>
      </c>
      <c r="F228" t="s">
        <v>19</v>
      </c>
      <c r="G228" t="s">
        <v>20</v>
      </c>
      <c r="H228">
        <v>78.12</v>
      </c>
      <c r="I228">
        <v>401.76</v>
      </c>
      <c r="J228">
        <v>5142.8599999999997</v>
      </c>
      <c r="K228" t="s">
        <v>34</v>
      </c>
      <c r="L228" t="s">
        <v>22</v>
      </c>
      <c r="M228">
        <v>101.36</v>
      </c>
      <c r="N228">
        <v>806.93</v>
      </c>
      <c r="O228" t="s">
        <v>42</v>
      </c>
      <c r="P228">
        <v>31.22</v>
      </c>
    </row>
    <row r="229" spans="1:16" x14ac:dyDescent="0.25">
      <c r="A229" t="s">
        <v>294</v>
      </c>
      <c r="B229" s="1">
        <v>43073</v>
      </c>
      <c r="C229">
        <v>2017</v>
      </c>
      <c r="D229" t="s">
        <v>44</v>
      </c>
      <c r="E229" t="s">
        <v>45</v>
      </c>
      <c r="F229" t="s">
        <v>38</v>
      </c>
      <c r="G229" t="s">
        <v>64</v>
      </c>
      <c r="H229">
        <v>24.87</v>
      </c>
      <c r="I229">
        <v>120.08</v>
      </c>
      <c r="J229">
        <v>4828.49</v>
      </c>
      <c r="K229" t="s">
        <v>21</v>
      </c>
      <c r="L229" t="s">
        <v>29</v>
      </c>
      <c r="M229">
        <v>182.07</v>
      </c>
      <c r="N229">
        <v>1177.7</v>
      </c>
      <c r="O229" t="s">
        <v>70</v>
      </c>
      <c r="P229">
        <v>34.01</v>
      </c>
    </row>
    <row r="230" spans="1:16" x14ac:dyDescent="0.25">
      <c r="A230" t="s">
        <v>295</v>
      </c>
      <c r="B230" s="1">
        <v>42690</v>
      </c>
      <c r="C230">
        <v>2016</v>
      </c>
      <c r="D230" t="s">
        <v>44</v>
      </c>
      <c r="E230" t="s">
        <v>67</v>
      </c>
      <c r="F230" t="s">
        <v>38</v>
      </c>
      <c r="G230" t="s">
        <v>27</v>
      </c>
      <c r="H230">
        <v>68.61</v>
      </c>
      <c r="I230">
        <v>382.59</v>
      </c>
      <c r="J230">
        <v>5576.36</v>
      </c>
      <c r="K230" t="s">
        <v>21</v>
      </c>
      <c r="L230" t="s">
        <v>29</v>
      </c>
      <c r="M230">
        <v>54.17</v>
      </c>
      <c r="N230">
        <v>267.52999999999997</v>
      </c>
      <c r="O230" t="s">
        <v>70</v>
      </c>
      <c r="P230">
        <v>23.24</v>
      </c>
    </row>
    <row r="231" spans="1:16" x14ac:dyDescent="0.25">
      <c r="A231" t="s">
        <v>296</v>
      </c>
      <c r="B231" s="1">
        <v>43927</v>
      </c>
      <c r="C231">
        <v>2020</v>
      </c>
      <c r="D231" t="s">
        <v>59</v>
      </c>
      <c r="E231" t="s">
        <v>63</v>
      </c>
      <c r="F231" t="s">
        <v>19</v>
      </c>
      <c r="G231" t="s">
        <v>27</v>
      </c>
      <c r="H231">
        <v>76.94</v>
      </c>
      <c r="I231">
        <v>272.48</v>
      </c>
      <c r="J231">
        <v>3541.45</v>
      </c>
      <c r="K231" t="s">
        <v>28</v>
      </c>
      <c r="L231" t="s">
        <v>49</v>
      </c>
      <c r="M231">
        <v>70.61</v>
      </c>
      <c r="N231">
        <v>736.56</v>
      </c>
      <c r="O231" t="s">
        <v>61</v>
      </c>
      <c r="P231">
        <v>22.29</v>
      </c>
    </row>
    <row r="232" spans="1:16" x14ac:dyDescent="0.25">
      <c r="A232" t="s">
        <v>297</v>
      </c>
      <c r="B232" s="1">
        <v>41448</v>
      </c>
      <c r="C232">
        <v>2013</v>
      </c>
      <c r="D232" t="s">
        <v>25</v>
      </c>
      <c r="E232" t="s">
        <v>69</v>
      </c>
      <c r="F232" t="s">
        <v>33</v>
      </c>
      <c r="G232" t="s">
        <v>27</v>
      </c>
      <c r="H232">
        <v>33.35</v>
      </c>
      <c r="I232">
        <v>150.69999999999999</v>
      </c>
      <c r="J232">
        <v>4518.62</v>
      </c>
      <c r="K232" t="s">
        <v>21</v>
      </c>
      <c r="L232" t="s">
        <v>29</v>
      </c>
      <c r="M232">
        <v>127.54</v>
      </c>
      <c r="N232">
        <v>637.49</v>
      </c>
      <c r="O232" t="s">
        <v>42</v>
      </c>
      <c r="P232">
        <v>20.87</v>
      </c>
    </row>
    <row r="233" spans="1:16" x14ac:dyDescent="0.25">
      <c r="A233" t="s">
        <v>298</v>
      </c>
      <c r="B233" s="1">
        <v>43616</v>
      </c>
      <c r="C233">
        <v>2019</v>
      </c>
      <c r="D233" t="s">
        <v>25</v>
      </c>
      <c r="E233" t="s">
        <v>87</v>
      </c>
      <c r="F233" t="s">
        <v>19</v>
      </c>
      <c r="G233" t="s">
        <v>64</v>
      </c>
      <c r="H233">
        <v>31.62</v>
      </c>
      <c r="I233">
        <v>172.33</v>
      </c>
      <c r="J233">
        <v>5450.16</v>
      </c>
      <c r="K233" t="s">
        <v>40</v>
      </c>
      <c r="L233" t="s">
        <v>49</v>
      </c>
      <c r="M233">
        <v>79.86</v>
      </c>
      <c r="N233">
        <v>907.9</v>
      </c>
      <c r="O233" t="s">
        <v>23</v>
      </c>
      <c r="P233">
        <v>22.46</v>
      </c>
    </row>
    <row r="234" spans="1:16" x14ac:dyDescent="0.25">
      <c r="A234" t="s">
        <v>299</v>
      </c>
      <c r="B234" s="1">
        <v>44679</v>
      </c>
      <c r="C234">
        <v>2022</v>
      </c>
      <c r="D234" t="s">
        <v>59</v>
      </c>
      <c r="E234" t="s">
        <v>93</v>
      </c>
      <c r="F234" t="s">
        <v>19</v>
      </c>
      <c r="G234" t="s">
        <v>20</v>
      </c>
      <c r="H234">
        <v>17.53</v>
      </c>
      <c r="I234">
        <v>30.88</v>
      </c>
      <c r="J234">
        <v>1761.58</v>
      </c>
      <c r="K234" t="s">
        <v>34</v>
      </c>
      <c r="L234" t="s">
        <v>49</v>
      </c>
      <c r="M234">
        <v>233.23</v>
      </c>
      <c r="N234">
        <v>318.06</v>
      </c>
      <c r="O234" t="s">
        <v>23</v>
      </c>
      <c r="P234">
        <v>25.03</v>
      </c>
    </row>
    <row r="235" spans="1:16" x14ac:dyDescent="0.25">
      <c r="A235" t="s">
        <v>300</v>
      </c>
      <c r="B235" s="1">
        <v>41746</v>
      </c>
      <c r="C235">
        <v>2014</v>
      </c>
      <c r="D235" t="s">
        <v>59</v>
      </c>
      <c r="E235" t="s">
        <v>60</v>
      </c>
      <c r="F235" t="s">
        <v>19</v>
      </c>
      <c r="G235" t="s">
        <v>27</v>
      </c>
      <c r="H235">
        <v>63.13</v>
      </c>
      <c r="I235">
        <v>251.06</v>
      </c>
      <c r="J235">
        <v>3976.89</v>
      </c>
      <c r="K235" t="s">
        <v>34</v>
      </c>
      <c r="L235" t="s">
        <v>22</v>
      </c>
      <c r="M235">
        <v>63.86</v>
      </c>
      <c r="N235">
        <v>1059.3599999999999</v>
      </c>
      <c r="O235" t="s">
        <v>42</v>
      </c>
      <c r="P235">
        <v>25.52</v>
      </c>
    </row>
    <row r="236" spans="1:16" x14ac:dyDescent="0.25">
      <c r="A236" t="s">
        <v>301</v>
      </c>
      <c r="B236" s="1">
        <v>44393</v>
      </c>
      <c r="C236">
        <v>2021</v>
      </c>
      <c r="D236" t="s">
        <v>59</v>
      </c>
      <c r="E236" t="s">
        <v>93</v>
      </c>
      <c r="F236" t="s">
        <v>33</v>
      </c>
      <c r="G236" t="s">
        <v>56</v>
      </c>
      <c r="H236">
        <v>74.34</v>
      </c>
      <c r="I236">
        <v>75.489999999999995</v>
      </c>
      <c r="J236">
        <v>1015.41</v>
      </c>
      <c r="K236" t="s">
        <v>21</v>
      </c>
      <c r="L236" t="s">
        <v>22</v>
      </c>
      <c r="M236">
        <v>111.14</v>
      </c>
      <c r="N236">
        <v>671.76</v>
      </c>
      <c r="O236" t="s">
        <v>52</v>
      </c>
      <c r="P236">
        <v>33.799999999999997</v>
      </c>
    </row>
    <row r="237" spans="1:16" x14ac:dyDescent="0.25">
      <c r="A237" t="s">
        <v>302</v>
      </c>
      <c r="B237" s="1">
        <v>44330</v>
      </c>
      <c r="C237">
        <v>2021</v>
      </c>
      <c r="D237" t="s">
        <v>59</v>
      </c>
      <c r="E237" t="s">
        <v>93</v>
      </c>
      <c r="F237" t="s">
        <v>19</v>
      </c>
      <c r="G237" t="s">
        <v>46</v>
      </c>
      <c r="H237">
        <v>23.23</v>
      </c>
      <c r="I237">
        <v>57.83</v>
      </c>
      <c r="J237">
        <v>2489.58</v>
      </c>
      <c r="K237" t="s">
        <v>34</v>
      </c>
      <c r="L237" t="s">
        <v>22</v>
      </c>
      <c r="M237">
        <v>117.81</v>
      </c>
      <c r="N237">
        <v>277.89</v>
      </c>
      <c r="O237" t="s">
        <v>70</v>
      </c>
      <c r="P237">
        <v>21.79</v>
      </c>
    </row>
    <row r="238" spans="1:16" x14ac:dyDescent="0.25">
      <c r="A238" t="s">
        <v>303</v>
      </c>
      <c r="B238" s="1">
        <v>44687</v>
      </c>
      <c r="C238">
        <v>2022</v>
      </c>
      <c r="D238" t="s">
        <v>103</v>
      </c>
      <c r="E238" t="s">
        <v>104</v>
      </c>
      <c r="F238" t="s">
        <v>19</v>
      </c>
      <c r="G238" t="s">
        <v>64</v>
      </c>
      <c r="H238">
        <v>95.45</v>
      </c>
      <c r="I238">
        <v>134.91999999999999</v>
      </c>
      <c r="J238">
        <v>1413.56</v>
      </c>
      <c r="K238" t="s">
        <v>28</v>
      </c>
      <c r="L238" t="s">
        <v>29</v>
      </c>
      <c r="M238">
        <v>266.51</v>
      </c>
      <c r="N238">
        <v>973.53</v>
      </c>
      <c r="O238" t="s">
        <v>70</v>
      </c>
      <c r="P238">
        <v>24.91</v>
      </c>
    </row>
    <row r="239" spans="1:16" x14ac:dyDescent="0.25">
      <c r="A239" t="s">
        <v>304</v>
      </c>
      <c r="B239" s="1">
        <v>41629</v>
      </c>
      <c r="C239">
        <v>2013</v>
      </c>
      <c r="D239" t="s">
        <v>25</v>
      </c>
      <c r="E239" t="s">
        <v>87</v>
      </c>
      <c r="F239" t="s">
        <v>38</v>
      </c>
      <c r="G239" t="s">
        <v>27</v>
      </c>
      <c r="H239">
        <v>78.67</v>
      </c>
      <c r="I239">
        <v>427.76</v>
      </c>
      <c r="J239">
        <v>5437.46</v>
      </c>
      <c r="K239" t="s">
        <v>40</v>
      </c>
      <c r="L239" t="s">
        <v>47</v>
      </c>
      <c r="M239">
        <v>165.98</v>
      </c>
      <c r="N239">
        <v>791.69</v>
      </c>
      <c r="O239" t="s">
        <v>52</v>
      </c>
      <c r="P239">
        <v>34.97</v>
      </c>
    </row>
    <row r="240" spans="1:16" x14ac:dyDescent="0.25">
      <c r="A240" t="s">
        <v>305</v>
      </c>
      <c r="B240" s="1">
        <v>41139</v>
      </c>
      <c r="C240">
        <v>2012</v>
      </c>
      <c r="D240" t="s">
        <v>44</v>
      </c>
      <c r="E240" t="s">
        <v>45</v>
      </c>
      <c r="F240" t="s">
        <v>33</v>
      </c>
      <c r="G240" t="s">
        <v>46</v>
      </c>
      <c r="H240">
        <v>3.37</v>
      </c>
      <c r="I240">
        <v>14.32</v>
      </c>
      <c r="J240">
        <v>4249.2700000000004</v>
      </c>
      <c r="K240" t="s">
        <v>21</v>
      </c>
      <c r="L240" t="s">
        <v>22</v>
      </c>
      <c r="M240">
        <v>287.75</v>
      </c>
      <c r="N240">
        <v>201.46</v>
      </c>
      <c r="O240" t="s">
        <v>52</v>
      </c>
      <c r="P240">
        <v>32.74</v>
      </c>
    </row>
    <row r="241" spans="1:16" x14ac:dyDescent="0.25">
      <c r="A241" t="s">
        <v>306</v>
      </c>
      <c r="B241" s="1">
        <v>41712</v>
      </c>
      <c r="C241">
        <v>2013</v>
      </c>
      <c r="D241" t="s">
        <v>103</v>
      </c>
      <c r="E241" t="s">
        <v>228</v>
      </c>
      <c r="F241" t="s">
        <v>38</v>
      </c>
      <c r="G241" t="s">
        <v>46</v>
      </c>
      <c r="H241">
        <v>96.16</v>
      </c>
      <c r="I241">
        <v>657.29</v>
      </c>
      <c r="J241">
        <v>6835.36</v>
      </c>
      <c r="K241" t="s">
        <v>40</v>
      </c>
      <c r="L241" t="s">
        <v>29</v>
      </c>
      <c r="M241">
        <v>227.91</v>
      </c>
      <c r="N241">
        <v>293.02999999999997</v>
      </c>
      <c r="O241" t="s">
        <v>42</v>
      </c>
      <c r="P241">
        <v>33.46</v>
      </c>
    </row>
    <row r="242" spans="1:16" x14ac:dyDescent="0.25">
      <c r="A242" t="s">
        <v>307</v>
      </c>
      <c r="B242" s="1">
        <v>42834</v>
      </c>
      <c r="C242">
        <v>2017</v>
      </c>
      <c r="D242" t="s">
        <v>17</v>
      </c>
      <c r="E242" t="s">
        <v>72</v>
      </c>
      <c r="F242" t="s">
        <v>19</v>
      </c>
      <c r="G242" t="s">
        <v>64</v>
      </c>
      <c r="H242">
        <v>58.5</v>
      </c>
      <c r="I242">
        <v>235.91</v>
      </c>
      <c r="J242">
        <v>4032.57</v>
      </c>
      <c r="K242" t="s">
        <v>28</v>
      </c>
      <c r="L242" t="s">
        <v>41</v>
      </c>
      <c r="M242">
        <v>68.709999999999994</v>
      </c>
      <c r="N242">
        <v>767.82</v>
      </c>
      <c r="O242" t="s">
        <v>52</v>
      </c>
      <c r="P242">
        <v>29.94</v>
      </c>
    </row>
    <row r="243" spans="1:16" x14ac:dyDescent="0.25">
      <c r="A243" t="s">
        <v>308</v>
      </c>
      <c r="B243" s="1">
        <v>42458</v>
      </c>
      <c r="C243">
        <v>2015</v>
      </c>
      <c r="D243" t="s">
        <v>31</v>
      </c>
      <c r="E243" t="s">
        <v>32</v>
      </c>
      <c r="F243" t="s">
        <v>38</v>
      </c>
      <c r="G243" t="s">
        <v>39</v>
      </c>
      <c r="H243">
        <v>83.36</v>
      </c>
      <c r="I243">
        <v>246.54</v>
      </c>
      <c r="J243">
        <v>2957.51</v>
      </c>
      <c r="K243" t="s">
        <v>28</v>
      </c>
      <c r="L243" t="s">
        <v>22</v>
      </c>
      <c r="M243">
        <v>117.99</v>
      </c>
      <c r="N243">
        <v>274.69</v>
      </c>
      <c r="O243" t="s">
        <v>42</v>
      </c>
      <c r="P243">
        <v>22.04</v>
      </c>
    </row>
    <row r="244" spans="1:16" x14ac:dyDescent="0.25">
      <c r="A244" t="s">
        <v>309</v>
      </c>
      <c r="B244" s="1">
        <v>41244</v>
      </c>
      <c r="C244">
        <v>2012</v>
      </c>
      <c r="D244" t="s">
        <v>103</v>
      </c>
      <c r="E244" t="s">
        <v>104</v>
      </c>
      <c r="F244" t="s">
        <v>38</v>
      </c>
      <c r="G244" t="s">
        <v>46</v>
      </c>
      <c r="H244">
        <v>32.090000000000003</v>
      </c>
      <c r="I244">
        <v>55.34</v>
      </c>
      <c r="J244">
        <v>1724.42</v>
      </c>
      <c r="K244" t="s">
        <v>34</v>
      </c>
      <c r="L244" t="s">
        <v>22</v>
      </c>
      <c r="M244">
        <v>291.16000000000003</v>
      </c>
      <c r="N244">
        <v>407.64</v>
      </c>
      <c r="O244" t="s">
        <v>70</v>
      </c>
      <c r="P244">
        <v>26.95</v>
      </c>
    </row>
    <row r="245" spans="1:16" x14ac:dyDescent="0.25">
      <c r="A245" t="s">
        <v>310</v>
      </c>
      <c r="B245" s="1">
        <v>41733</v>
      </c>
      <c r="C245">
        <v>2014</v>
      </c>
      <c r="D245" t="s">
        <v>103</v>
      </c>
      <c r="E245" t="s">
        <v>228</v>
      </c>
      <c r="F245" t="s">
        <v>19</v>
      </c>
      <c r="G245" t="s">
        <v>39</v>
      </c>
      <c r="H245">
        <v>60.73</v>
      </c>
      <c r="I245">
        <v>139.08000000000001</v>
      </c>
      <c r="J245">
        <v>2290.12</v>
      </c>
      <c r="K245" t="s">
        <v>34</v>
      </c>
      <c r="L245" t="s">
        <v>49</v>
      </c>
      <c r="M245">
        <v>87.08</v>
      </c>
      <c r="N245">
        <v>911.16</v>
      </c>
      <c r="O245" t="s">
        <v>70</v>
      </c>
      <c r="P245">
        <v>25.94</v>
      </c>
    </row>
    <row r="246" spans="1:16" x14ac:dyDescent="0.25">
      <c r="A246" t="s">
        <v>311</v>
      </c>
      <c r="B246" s="1">
        <v>40498</v>
      </c>
      <c r="C246">
        <v>2010</v>
      </c>
      <c r="D246" t="s">
        <v>31</v>
      </c>
      <c r="E246" t="s">
        <v>82</v>
      </c>
      <c r="F246" t="s">
        <v>38</v>
      </c>
      <c r="G246" t="s">
        <v>46</v>
      </c>
      <c r="H246">
        <v>56.04</v>
      </c>
      <c r="I246">
        <v>241.01</v>
      </c>
      <c r="J246">
        <v>4300.7299999999996</v>
      </c>
      <c r="K246" t="s">
        <v>21</v>
      </c>
      <c r="L246" t="s">
        <v>41</v>
      </c>
      <c r="M246">
        <v>165.51</v>
      </c>
      <c r="N246">
        <v>1003.9</v>
      </c>
      <c r="O246" t="s">
        <v>42</v>
      </c>
      <c r="P246">
        <v>21.82</v>
      </c>
    </row>
    <row r="247" spans="1:16" x14ac:dyDescent="0.25">
      <c r="A247" t="s">
        <v>312</v>
      </c>
      <c r="B247" s="1">
        <v>42788</v>
      </c>
      <c r="C247">
        <v>2016</v>
      </c>
      <c r="D247" t="s">
        <v>103</v>
      </c>
      <c r="E247" t="s">
        <v>104</v>
      </c>
      <c r="F247" t="s">
        <v>38</v>
      </c>
      <c r="G247" t="s">
        <v>39</v>
      </c>
      <c r="H247">
        <v>63.4</v>
      </c>
      <c r="I247">
        <v>308.64</v>
      </c>
      <c r="J247">
        <v>4868.1099999999997</v>
      </c>
      <c r="K247" t="s">
        <v>34</v>
      </c>
      <c r="L247" t="s">
        <v>41</v>
      </c>
      <c r="M247">
        <v>279.36</v>
      </c>
      <c r="N247">
        <v>274.99</v>
      </c>
      <c r="O247" t="s">
        <v>23</v>
      </c>
      <c r="P247">
        <v>22.97</v>
      </c>
    </row>
    <row r="248" spans="1:16" x14ac:dyDescent="0.25">
      <c r="A248" t="s">
        <v>313</v>
      </c>
      <c r="B248" s="1">
        <v>40804</v>
      </c>
      <c r="C248">
        <v>2011</v>
      </c>
      <c r="D248" t="s">
        <v>25</v>
      </c>
      <c r="E248" t="s">
        <v>87</v>
      </c>
      <c r="F248" t="s">
        <v>33</v>
      </c>
      <c r="G248" t="s">
        <v>46</v>
      </c>
      <c r="H248">
        <v>6.01</v>
      </c>
      <c r="I248">
        <v>39.33</v>
      </c>
      <c r="J248">
        <v>6544.79</v>
      </c>
      <c r="K248" t="s">
        <v>28</v>
      </c>
      <c r="L248" t="s">
        <v>41</v>
      </c>
      <c r="M248">
        <v>255.42</v>
      </c>
      <c r="N248">
        <v>595</v>
      </c>
      <c r="O248" t="s">
        <v>23</v>
      </c>
      <c r="P248">
        <v>25.74</v>
      </c>
    </row>
    <row r="249" spans="1:16" x14ac:dyDescent="0.25">
      <c r="A249" t="s">
        <v>314</v>
      </c>
      <c r="B249" s="1">
        <v>41236</v>
      </c>
      <c r="C249">
        <v>2012</v>
      </c>
      <c r="D249" t="s">
        <v>31</v>
      </c>
      <c r="E249" t="s">
        <v>82</v>
      </c>
      <c r="F249" t="s">
        <v>38</v>
      </c>
      <c r="G249" t="s">
        <v>20</v>
      </c>
      <c r="H249">
        <v>45.16</v>
      </c>
      <c r="I249">
        <v>85.43</v>
      </c>
      <c r="J249">
        <v>1891.79</v>
      </c>
      <c r="K249" t="s">
        <v>40</v>
      </c>
      <c r="L249" t="s">
        <v>49</v>
      </c>
      <c r="M249">
        <v>211.82</v>
      </c>
      <c r="N249">
        <v>698.89</v>
      </c>
      <c r="O249" t="s">
        <v>61</v>
      </c>
      <c r="P249">
        <v>27.19</v>
      </c>
    </row>
    <row r="250" spans="1:16" x14ac:dyDescent="0.25">
      <c r="A250" t="s">
        <v>315</v>
      </c>
      <c r="B250" s="1">
        <v>42646</v>
      </c>
      <c r="C250">
        <v>2016</v>
      </c>
      <c r="D250" t="s">
        <v>36</v>
      </c>
      <c r="E250" t="s">
        <v>37</v>
      </c>
      <c r="F250" t="s">
        <v>33</v>
      </c>
      <c r="G250" t="s">
        <v>39</v>
      </c>
      <c r="H250">
        <v>88.58</v>
      </c>
      <c r="I250">
        <v>368.04</v>
      </c>
      <c r="J250">
        <v>4154.88</v>
      </c>
      <c r="K250" t="s">
        <v>21</v>
      </c>
      <c r="L250" t="s">
        <v>49</v>
      </c>
      <c r="M250">
        <v>297.35000000000002</v>
      </c>
      <c r="N250">
        <v>981.92</v>
      </c>
      <c r="O250" t="s">
        <v>70</v>
      </c>
      <c r="P250">
        <v>27.2</v>
      </c>
    </row>
    <row r="251" spans="1:16" x14ac:dyDescent="0.25">
      <c r="A251" t="s">
        <v>316</v>
      </c>
      <c r="B251" s="1">
        <v>42429</v>
      </c>
      <c r="C251">
        <v>2015</v>
      </c>
      <c r="D251" t="s">
        <v>59</v>
      </c>
      <c r="E251" t="s">
        <v>93</v>
      </c>
      <c r="F251" t="s">
        <v>38</v>
      </c>
      <c r="G251" t="s">
        <v>20</v>
      </c>
      <c r="H251">
        <v>18.8</v>
      </c>
      <c r="I251">
        <v>54.77</v>
      </c>
      <c r="J251">
        <v>2913.27</v>
      </c>
      <c r="K251" t="s">
        <v>40</v>
      </c>
      <c r="L251" t="s">
        <v>47</v>
      </c>
      <c r="M251">
        <v>57.33</v>
      </c>
      <c r="N251">
        <v>1010.69</v>
      </c>
      <c r="O251" t="s">
        <v>70</v>
      </c>
      <c r="P251">
        <v>20.88</v>
      </c>
    </row>
    <row r="252" spans="1:16" x14ac:dyDescent="0.25">
      <c r="A252" t="s">
        <v>317</v>
      </c>
      <c r="B252" s="1">
        <v>41525</v>
      </c>
      <c r="C252">
        <v>2013</v>
      </c>
      <c r="D252" t="s">
        <v>31</v>
      </c>
      <c r="E252" t="s">
        <v>117</v>
      </c>
      <c r="F252" t="s">
        <v>33</v>
      </c>
      <c r="G252" t="s">
        <v>64</v>
      </c>
      <c r="H252">
        <v>25.54</v>
      </c>
      <c r="I252">
        <v>62.49</v>
      </c>
      <c r="J252">
        <v>2446.92</v>
      </c>
      <c r="K252" t="s">
        <v>21</v>
      </c>
      <c r="L252" t="s">
        <v>49</v>
      </c>
      <c r="M252">
        <v>241.01</v>
      </c>
      <c r="N252">
        <v>1147.8</v>
      </c>
      <c r="O252" t="s">
        <v>61</v>
      </c>
      <c r="P252">
        <v>32.700000000000003</v>
      </c>
    </row>
    <row r="253" spans="1:16" x14ac:dyDescent="0.25">
      <c r="A253" t="s">
        <v>318</v>
      </c>
      <c r="B253" s="1">
        <v>41205</v>
      </c>
      <c r="C253">
        <v>2012</v>
      </c>
      <c r="D253" t="s">
        <v>44</v>
      </c>
      <c r="E253" t="s">
        <v>45</v>
      </c>
      <c r="F253" t="s">
        <v>33</v>
      </c>
      <c r="G253" t="s">
        <v>27</v>
      </c>
      <c r="H253">
        <v>32.479999999999997</v>
      </c>
      <c r="I253">
        <v>176.32</v>
      </c>
      <c r="J253">
        <v>5428.63</v>
      </c>
      <c r="K253" t="s">
        <v>34</v>
      </c>
      <c r="L253" t="s">
        <v>41</v>
      </c>
      <c r="M253">
        <v>278.5</v>
      </c>
      <c r="N253">
        <v>228.21</v>
      </c>
      <c r="O253" t="s">
        <v>70</v>
      </c>
      <c r="P253">
        <v>34.21</v>
      </c>
    </row>
    <row r="254" spans="1:16" x14ac:dyDescent="0.25">
      <c r="A254" t="s">
        <v>319</v>
      </c>
      <c r="B254" s="1">
        <v>44866</v>
      </c>
      <c r="C254">
        <v>2022</v>
      </c>
      <c r="D254" t="s">
        <v>59</v>
      </c>
      <c r="E254" t="s">
        <v>60</v>
      </c>
      <c r="F254" t="s">
        <v>38</v>
      </c>
      <c r="G254" t="s">
        <v>27</v>
      </c>
      <c r="H254">
        <v>31.6</v>
      </c>
      <c r="I254">
        <v>124.59</v>
      </c>
      <c r="J254">
        <v>3942.62</v>
      </c>
      <c r="K254" t="s">
        <v>21</v>
      </c>
      <c r="L254" t="s">
        <v>49</v>
      </c>
      <c r="M254">
        <v>64.040000000000006</v>
      </c>
      <c r="N254">
        <v>801.66</v>
      </c>
      <c r="O254" t="s">
        <v>23</v>
      </c>
      <c r="P254">
        <v>27.9</v>
      </c>
    </row>
    <row r="255" spans="1:16" x14ac:dyDescent="0.25">
      <c r="A255" t="s">
        <v>320</v>
      </c>
      <c r="B255" s="1">
        <v>44847</v>
      </c>
      <c r="C255">
        <v>2022</v>
      </c>
      <c r="D255" t="s">
        <v>59</v>
      </c>
      <c r="E255" t="s">
        <v>60</v>
      </c>
      <c r="F255" t="s">
        <v>33</v>
      </c>
      <c r="G255" t="s">
        <v>20</v>
      </c>
      <c r="H255">
        <v>71.98</v>
      </c>
      <c r="I255">
        <v>468.78</v>
      </c>
      <c r="J255">
        <v>6512.68</v>
      </c>
      <c r="K255" t="s">
        <v>34</v>
      </c>
      <c r="L255" t="s">
        <v>49</v>
      </c>
      <c r="M255">
        <v>64.89</v>
      </c>
      <c r="N255">
        <v>347.71</v>
      </c>
      <c r="O255" t="s">
        <v>42</v>
      </c>
      <c r="P255">
        <v>31.62</v>
      </c>
    </row>
    <row r="256" spans="1:16" x14ac:dyDescent="0.25">
      <c r="A256" t="s">
        <v>321</v>
      </c>
      <c r="B256" s="1">
        <v>44318</v>
      </c>
      <c r="C256">
        <v>2021</v>
      </c>
      <c r="D256" t="s">
        <v>25</v>
      </c>
      <c r="E256" t="s">
        <v>87</v>
      </c>
      <c r="F256" t="s">
        <v>19</v>
      </c>
      <c r="G256" t="s">
        <v>46</v>
      </c>
      <c r="H256">
        <v>59.02</v>
      </c>
      <c r="I256">
        <v>178.2</v>
      </c>
      <c r="J256">
        <v>3019.37</v>
      </c>
      <c r="K256" t="s">
        <v>34</v>
      </c>
      <c r="L256" t="s">
        <v>49</v>
      </c>
      <c r="M256">
        <v>84.11</v>
      </c>
      <c r="N256">
        <v>357.5</v>
      </c>
      <c r="O256" t="s">
        <v>52</v>
      </c>
      <c r="P256">
        <v>31.88</v>
      </c>
    </row>
    <row r="257" spans="1:16" x14ac:dyDescent="0.25">
      <c r="A257" t="s">
        <v>322</v>
      </c>
      <c r="B257" s="1">
        <v>43237</v>
      </c>
      <c r="C257">
        <v>2018</v>
      </c>
      <c r="D257" t="s">
        <v>103</v>
      </c>
      <c r="E257" t="s">
        <v>228</v>
      </c>
      <c r="F257" t="s">
        <v>19</v>
      </c>
      <c r="G257" t="s">
        <v>27</v>
      </c>
      <c r="H257">
        <v>78.91</v>
      </c>
      <c r="I257">
        <v>184.6</v>
      </c>
      <c r="J257">
        <v>2339.42</v>
      </c>
      <c r="K257" t="s">
        <v>40</v>
      </c>
      <c r="L257" t="s">
        <v>22</v>
      </c>
      <c r="M257">
        <v>144.6</v>
      </c>
      <c r="N257">
        <v>933.99</v>
      </c>
      <c r="O257" t="s">
        <v>70</v>
      </c>
      <c r="P257">
        <v>21.91</v>
      </c>
    </row>
    <row r="258" spans="1:16" x14ac:dyDescent="0.25">
      <c r="A258" t="s">
        <v>323</v>
      </c>
      <c r="B258" s="1">
        <v>42508</v>
      </c>
      <c r="C258">
        <v>2016</v>
      </c>
      <c r="D258" t="s">
        <v>17</v>
      </c>
      <c r="E258" t="s">
        <v>54</v>
      </c>
      <c r="F258" t="s">
        <v>19</v>
      </c>
      <c r="G258" t="s">
        <v>64</v>
      </c>
      <c r="H258">
        <v>19.03</v>
      </c>
      <c r="I258">
        <v>55.36</v>
      </c>
      <c r="J258">
        <v>2909.3</v>
      </c>
      <c r="K258" t="s">
        <v>40</v>
      </c>
      <c r="L258" t="s">
        <v>22</v>
      </c>
      <c r="M258">
        <v>209.91</v>
      </c>
      <c r="N258">
        <v>304.11</v>
      </c>
      <c r="O258" t="s">
        <v>52</v>
      </c>
      <c r="P258">
        <v>22.11</v>
      </c>
    </row>
    <row r="259" spans="1:16" x14ac:dyDescent="0.25">
      <c r="A259" t="s">
        <v>324</v>
      </c>
      <c r="B259" s="1">
        <v>42245</v>
      </c>
      <c r="C259">
        <v>2015</v>
      </c>
      <c r="D259" t="s">
        <v>103</v>
      </c>
      <c r="E259" t="s">
        <v>107</v>
      </c>
      <c r="F259" t="s">
        <v>33</v>
      </c>
      <c r="G259" t="s">
        <v>39</v>
      </c>
      <c r="H259">
        <v>88.65</v>
      </c>
      <c r="I259">
        <v>135.84</v>
      </c>
      <c r="J259">
        <v>1532.36</v>
      </c>
      <c r="K259" t="s">
        <v>34</v>
      </c>
      <c r="L259" t="s">
        <v>49</v>
      </c>
      <c r="M259">
        <v>161.66</v>
      </c>
      <c r="N259">
        <v>465.21</v>
      </c>
      <c r="O259" t="s">
        <v>42</v>
      </c>
      <c r="P259">
        <v>30.4</v>
      </c>
    </row>
    <row r="260" spans="1:16" x14ac:dyDescent="0.25">
      <c r="A260" t="s">
        <v>325</v>
      </c>
      <c r="B260" s="1">
        <v>44444</v>
      </c>
      <c r="C260">
        <v>2021</v>
      </c>
      <c r="D260" t="s">
        <v>44</v>
      </c>
      <c r="E260" t="s">
        <v>45</v>
      </c>
      <c r="F260" t="s">
        <v>33</v>
      </c>
      <c r="G260" t="s">
        <v>64</v>
      </c>
      <c r="H260">
        <v>39.21</v>
      </c>
      <c r="I260">
        <v>211.56</v>
      </c>
      <c r="J260">
        <v>5395.51</v>
      </c>
      <c r="K260" t="s">
        <v>40</v>
      </c>
      <c r="L260" t="s">
        <v>22</v>
      </c>
      <c r="M260">
        <v>271.14</v>
      </c>
      <c r="N260">
        <v>693.08</v>
      </c>
      <c r="O260" t="s">
        <v>52</v>
      </c>
      <c r="P260">
        <v>25.27</v>
      </c>
    </row>
    <row r="261" spans="1:16" x14ac:dyDescent="0.25">
      <c r="A261" t="s">
        <v>326</v>
      </c>
      <c r="B261" s="1">
        <v>44668</v>
      </c>
      <c r="C261">
        <v>2022</v>
      </c>
      <c r="D261" t="s">
        <v>44</v>
      </c>
      <c r="E261" t="s">
        <v>99</v>
      </c>
      <c r="F261" t="s">
        <v>19</v>
      </c>
      <c r="G261" t="s">
        <v>39</v>
      </c>
      <c r="H261">
        <v>76.069999999999993</v>
      </c>
      <c r="I261">
        <v>179.03</v>
      </c>
      <c r="J261">
        <v>2353.5</v>
      </c>
      <c r="K261" t="s">
        <v>28</v>
      </c>
      <c r="L261" t="s">
        <v>22</v>
      </c>
      <c r="M261">
        <v>68.430000000000007</v>
      </c>
      <c r="N261">
        <v>1045.76</v>
      </c>
      <c r="O261" t="s">
        <v>70</v>
      </c>
      <c r="P261">
        <v>20.3</v>
      </c>
    </row>
    <row r="262" spans="1:16" x14ac:dyDescent="0.25">
      <c r="A262" t="s">
        <v>327</v>
      </c>
      <c r="B262" s="1">
        <v>41324</v>
      </c>
      <c r="C262">
        <v>2012</v>
      </c>
      <c r="D262" t="s">
        <v>25</v>
      </c>
      <c r="E262" t="s">
        <v>87</v>
      </c>
      <c r="F262" t="s">
        <v>38</v>
      </c>
      <c r="G262" t="s">
        <v>56</v>
      </c>
      <c r="H262">
        <v>73.47</v>
      </c>
      <c r="I262">
        <v>314.62</v>
      </c>
      <c r="J262">
        <v>4282.28</v>
      </c>
      <c r="K262" t="s">
        <v>21</v>
      </c>
      <c r="L262" t="s">
        <v>41</v>
      </c>
      <c r="M262">
        <v>134.49</v>
      </c>
      <c r="N262">
        <v>1185.28</v>
      </c>
      <c r="O262" t="s">
        <v>52</v>
      </c>
      <c r="P262">
        <v>30.57</v>
      </c>
    </row>
    <row r="263" spans="1:16" x14ac:dyDescent="0.25">
      <c r="A263" t="s">
        <v>328</v>
      </c>
      <c r="B263" s="1">
        <v>41133</v>
      </c>
      <c r="C263">
        <v>2012</v>
      </c>
      <c r="D263" t="s">
        <v>59</v>
      </c>
      <c r="E263" t="s">
        <v>63</v>
      </c>
      <c r="F263" t="s">
        <v>33</v>
      </c>
      <c r="G263" t="s">
        <v>64</v>
      </c>
      <c r="H263">
        <v>33.78</v>
      </c>
      <c r="I263">
        <v>231.27</v>
      </c>
      <c r="J263">
        <v>6846.39</v>
      </c>
      <c r="K263" t="s">
        <v>28</v>
      </c>
      <c r="L263" t="s">
        <v>49</v>
      </c>
      <c r="M263">
        <v>224.3</v>
      </c>
      <c r="N263">
        <v>922.04</v>
      </c>
      <c r="O263" t="s">
        <v>61</v>
      </c>
      <c r="P263">
        <v>23.98</v>
      </c>
    </row>
    <row r="264" spans="1:16" x14ac:dyDescent="0.25">
      <c r="A264" t="s">
        <v>329</v>
      </c>
      <c r="B264" s="1">
        <v>40605</v>
      </c>
      <c r="C264">
        <v>2010</v>
      </c>
      <c r="D264" t="s">
        <v>103</v>
      </c>
      <c r="E264" t="s">
        <v>104</v>
      </c>
      <c r="F264" t="s">
        <v>38</v>
      </c>
      <c r="G264" t="s">
        <v>27</v>
      </c>
      <c r="H264">
        <v>55.42</v>
      </c>
      <c r="I264">
        <v>218.67</v>
      </c>
      <c r="J264">
        <v>3945.69</v>
      </c>
      <c r="K264" t="s">
        <v>21</v>
      </c>
      <c r="L264" t="s">
        <v>41</v>
      </c>
      <c r="M264">
        <v>140.21</v>
      </c>
      <c r="N264">
        <v>627.61</v>
      </c>
      <c r="O264" t="s">
        <v>70</v>
      </c>
      <c r="P264">
        <v>32.36</v>
      </c>
    </row>
    <row r="265" spans="1:16" x14ac:dyDescent="0.25">
      <c r="A265" t="s">
        <v>330</v>
      </c>
      <c r="B265" s="1">
        <v>41493</v>
      </c>
      <c r="C265">
        <v>2013</v>
      </c>
      <c r="D265" t="s">
        <v>25</v>
      </c>
      <c r="E265" t="s">
        <v>26</v>
      </c>
      <c r="F265" t="s">
        <v>33</v>
      </c>
      <c r="G265" t="s">
        <v>39</v>
      </c>
      <c r="H265">
        <v>29.89</v>
      </c>
      <c r="I265">
        <v>44.58</v>
      </c>
      <c r="J265">
        <v>1491.62</v>
      </c>
      <c r="K265" t="s">
        <v>21</v>
      </c>
      <c r="L265" t="s">
        <v>22</v>
      </c>
      <c r="M265">
        <v>127.09</v>
      </c>
      <c r="N265">
        <v>597.47</v>
      </c>
      <c r="O265" t="s">
        <v>52</v>
      </c>
      <c r="P265">
        <v>33.42</v>
      </c>
    </row>
    <row r="266" spans="1:16" x14ac:dyDescent="0.25">
      <c r="A266" t="s">
        <v>331</v>
      </c>
      <c r="B266" s="1">
        <v>42590</v>
      </c>
      <c r="C266">
        <v>2016</v>
      </c>
      <c r="D266" t="s">
        <v>17</v>
      </c>
      <c r="E266" t="s">
        <v>54</v>
      </c>
      <c r="F266" t="s">
        <v>33</v>
      </c>
      <c r="G266" t="s">
        <v>20</v>
      </c>
      <c r="H266">
        <v>88.66</v>
      </c>
      <c r="I266">
        <v>285.17</v>
      </c>
      <c r="J266">
        <v>3216.41</v>
      </c>
      <c r="K266" t="s">
        <v>28</v>
      </c>
      <c r="L266" t="s">
        <v>47</v>
      </c>
      <c r="M266">
        <v>61.15</v>
      </c>
      <c r="N266">
        <v>639.74</v>
      </c>
      <c r="O266" t="s">
        <v>70</v>
      </c>
      <c r="P266">
        <v>23.39</v>
      </c>
    </row>
    <row r="267" spans="1:16" x14ac:dyDescent="0.25">
      <c r="A267" t="s">
        <v>332</v>
      </c>
      <c r="B267" s="1">
        <v>44676</v>
      </c>
      <c r="C267">
        <v>2022</v>
      </c>
      <c r="D267" t="s">
        <v>25</v>
      </c>
      <c r="E267" t="s">
        <v>26</v>
      </c>
      <c r="F267" t="s">
        <v>19</v>
      </c>
      <c r="G267" t="s">
        <v>39</v>
      </c>
      <c r="H267">
        <v>10.57</v>
      </c>
      <c r="I267">
        <v>52.94</v>
      </c>
      <c r="J267">
        <v>5008.8500000000004</v>
      </c>
      <c r="K267" t="s">
        <v>28</v>
      </c>
      <c r="L267" t="s">
        <v>47</v>
      </c>
      <c r="M267">
        <v>292.68</v>
      </c>
      <c r="N267">
        <v>789.73</v>
      </c>
      <c r="O267" t="s">
        <v>61</v>
      </c>
      <c r="P267">
        <v>20.91</v>
      </c>
    </row>
    <row r="268" spans="1:16" x14ac:dyDescent="0.25">
      <c r="A268" t="s">
        <v>333</v>
      </c>
      <c r="B268" s="1">
        <v>44268</v>
      </c>
      <c r="C268">
        <v>2020</v>
      </c>
      <c r="D268" t="s">
        <v>36</v>
      </c>
      <c r="E268" t="s">
        <v>77</v>
      </c>
      <c r="F268" t="s">
        <v>38</v>
      </c>
      <c r="G268" t="s">
        <v>27</v>
      </c>
      <c r="H268">
        <v>88.28</v>
      </c>
      <c r="I268">
        <v>340.55</v>
      </c>
      <c r="J268">
        <v>3857.57</v>
      </c>
      <c r="K268" t="s">
        <v>21</v>
      </c>
      <c r="L268" t="s">
        <v>47</v>
      </c>
      <c r="M268">
        <v>148.69999999999999</v>
      </c>
      <c r="N268">
        <v>1053.94</v>
      </c>
      <c r="O268" t="s">
        <v>23</v>
      </c>
      <c r="P268">
        <v>27.53</v>
      </c>
    </row>
    <row r="269" spans="1:16" x14ac:dyDescent="0.25">
      <c r="A269" t="s">
        <v>334</v>
      </c>
      <c r="B269" s="1">
        <v>41172</v>
      </c>
      <c r="C269">
        <v>2012</v>
      </c>
      <c r="D269" t="s">
        <v>17</v>
      </c>
      <c r="E269" t="s">
        <v>54</v>
      </c>
      <c r="F269" t="s">
        <v>33</v>
      </c>
      <c r="G269" t="s">
        <v>46</v>
      </c>
      <c r="H269">
        <v>18.12</v>
      </c>
      <c r="I269">
        <v>125.14</v>
      </c>
      <c r="J269">
        <v>6906.21</v>
      </c>
      <c r="K269" t="s">
        <v>40</v>
      </c>
      <c r="L269" t="s">
        <v>41</v>
      </c>
      <c r="M269">
        <v>252.12</v>
      </c>
      <c r="N269">
        <v>326.19</v>
      </c>
      <c r="O269" t="s">
        <v>52</v>
      </c>
      <c r="P269">
        <v>21.18</v>
      </c>
    </row>
    <row r="270" spans="1:16" x14ac:dyDescent="0.25">
      <c r="A270" t="s">
        <v>335</v>
      </c>
      <c r="B270" s="1">
        <v>41017</v>
      </c>
      <c r="C270">
        <v>2012</v>
      </c>
      <c r="D270" t="s">
        <v>44</v>
      </c>
      <c r="E270" t="s">
        <v>67</v>
      </c>
      <c r="F270" t="s">
        <v>19</v>
      </c>
      <c r="G270" t="s">
        <v>20</v>
      </c>
      <c r="H270">
        <v>32.659999999999997</v>
      </c>
      <c r="I270">
        <v>175.14</v>
      </c>
      <c r="J270">
        <v>5362.62</v>
      </c>
      <c r="K270" t="s">
        <v>21</v>
      </c>
      <c r="L270" t="s">
        <v>47</v>
      </c>
      <c r="M270">
        <v>71.760000000000005</v>
      </c>
      <c r="N270">
        <v>756.36</v>
      </c>
      <c r="O270" t="s">
        <v>61</v>
      </c>
      <c r="P270">
        <v>24.89</v>
      </c>
    </row>
    <row r="271" spans="1:16" x14ac:dyDescent="0.25">
      <c r="A271" t="s">
        <v>336</v>
      </c>
      <c r="B271" s="1">
        <v>44712</v>
      </c>
      <c r="C271">
        <v>2022</v>
      </c>
      <c r="D271" t="s">
        <v>36</v>
      </c>
      <c r="E271" t="s">
        <v>37</v>
      </c>
      <c r="F271" t="s">
        <v>19</v>
      </c>
      <c r="G271" t="s">
        <v>27</v>
      </c>
      <c r="H271">
        <v>59.17</v>
      </c>
      <c r="I271">
        <v>336.68</v>
      </c>
      <c r="J271">
        <v>5690.11</v>
      </c>
      <c r="K271" t="s">
        <v>21</v>
      </c>
      <c r="L271" t="s">
        <v>22</v>
      </c>
      <c r="M271">
        <v>153.61000000000001</v>
      </c>
      <c r="N271">
        <v>348.2</v>
      </c>
      <c r="O271" t="s">
        <v>61</v>
      </c>
      <c r="P271">
        <v>28.74</v>
      </c>
    </row>
    <row r="272" spans="1:16" x14ac:dyDescent="0.25">
      <c r="A272" t="s">
        <v>337</v>
      </c>
      <c r="B272" s="1">
        <v>44722</v>
      </c>
      <c r="C272">
        <v>2022</v>
      </c>
      <c r="D272" t="s">
        <v>25</v>
      </c>
      <c r="E272" t="s">
        <v>69</v>
      </c>
      <c r="F272" t="s">
        <v>33</v>
      </c>
      <c r="G272" t="s">
        <v>20</v>
      </c>
      <c r="H272">
        <v>86.88</v>
      </c>
      <c r="I272">
        <v>545.67999999999995</v>
      </c>
      <c r="J272">
        <v>6280.81</v>
      </c>
      <c r="K272" t="s">
        <v>28</v>
      </c>
      <c r="L272" t="s">
        <v>41</v>
      </c>
      <c r="M272">
        <v>116.03</v>
      </c>
      <c r="N272">
        <v>854.79</v>
      </c>
      <c r="O272" t="s">
        <v>61</v>
      </c>
      <c r="P272">
        <v>29.13</v>
      </c>
    </row>
    <row r="273" spans="1:16" x14ac:dyDescent="0.25">
      <c r="A273" t="s">
        <v>338</v>
      </c>
      <c r="B273" s="1">
        <v>41030</v>
      </c>
      <c r="C273">
        <v>2012</v>
      </c>
      <c r="D273" t="s">
        <v>31</v>
      </c>
      <c r="E273" t="s">
        <v>32</v>
      </c>
      <c r="F273" t="s">
        <v>19</v>
      </c>
      <c r="G273" t="s">
        <v>27</v>
      </c>
      <c r="H273">
        <v>68.400000000000006</v>
      </c>
      <c r="I273">
        <v>233.27</v>
      </c>
      <c r="J273">
        <v>3410.32</v>
      </c>
      <c r="K273" t="s">
        <v>28</v>
      </c>
      <c r="L273" t="s">
        <v>49</v>
      </c>
      <c r="M273">
        <v>272.39</v>
      </c>
      <c r="N273">
        <v>531.49</v>
      </c>
      <c r="O273" t="s">
        <v>42</v>
      </c>
      <c r="P273">
        <v>20.74</v>
      </c>
    </row>
    <row r="274" spans="1:16" x14ac:dyDescent="0.25">
      <c r="A274" t="s">
        <v>339</v>
      </c>
      <c r="B274" s="1">
        <v>42422</v>
      </c>
      <c r="C274">
        <v>2015</v>
      </c>
      <c r="D274" t="s">
        <v>31</v>
      </c>
      <c r="E274" t="s">
        <v>82</v>
      </c>
      <c r="F274" t="s">
        <v>38</v>
      </c>
      <c r="G274" t="s">
        <v>20</v>
      </c>
      <c r="H274">
        <v>28.75</v>
      </c>
      <c r="I274">
        <v>113.55</v>
      </c>
      <c r="J274">
        <v>3949.72</v>
      </c>
      <c r="K274" t="s">
        <v>21</v>
      </c>
      <c r="L274" t="s">
        <v>49</v>
      </c>
      <c r="M274">
        <v>293.12</v>
      </c>
      <c r="N274">
        <v>427.96</v>
      </c>
      <c r="O274" t="s">
        <v>70</v>
      </c>
      <c r="P274">
        <v>34.61</v>
      </c>
    </row>
    <row r="275" spans="1:16" x14ac:dyDescent="0.25">
      <c r="A275" t="s">
        <v>340</v>
      </c>
      <c r="B275" s="1">
        <v>42493</v>
      </c>
      <c r="C275">
        <v>2016</v>
      </c>
      <c r="D275" t="s">
        <v>31</v>
      </c>
      <c r="E275" t="s">
        <v>117</v>
      </c>
      <c r="F275" t="s">
        <v>19</v>
      </c>
      <c r="G275" t="s">
        <v>39</v>
      </c>
      <c r="H275">
        <v>9.84</v>
      </c>
      <c r="I275">
        <v>35.92</v>
      </c>
      <c r="J275">
        <v>3650.3</v>
      </c>
      <c r="K275" t="s">
        <v>28</v>
      </c>
      <c r="L275" t="s">
        <v>41</v>
      </c>
      <c r="M275">
        <v>235.24</v>
      </c>
      <c r="N275">
        <v>959.49</v>
      </c>
      <c r="O275" t="s">
        <v>70</v>
      </c>
      <c r="P275">
        <v>32.32</v>
      </c>
    </row>
    <row r="276" spans="1:16" x14ac:dyDescent="0.25">
      <c r="A276" t="s">
        <v>341</v>
      </c>
      <c r="B276" s="1">
        <v>44302</v>
      </c>
      <c r="C276">
        <v>2021</v>
      </c>
      <c r="D276" t="s">
        <v>25</v>
      </c>
      <c r="E276" t="s">
        <v>87</v>
      </c>
      <c r="F276" t="s">
        <v>19</v>
      </c>
      <c r="G276" t="s">
        <v>46</v>
      </c>
      <c r="H276">
        <v>14.43</v>
      </c>
      <c r="I276">
        <v>88.14</v>
      </c>
      <c r="J276">
        <v>6107.77</v>
      </c>
      <c r="K276" t="s">
        <v>21</v>
      </c>
      <c r="L276" t="s">
        <v>22</v>
      </c>
      <c r="M276">
        <v>93.43</v>
      </c>
      <c r="N276">
        <v>1075.18</v>
      </c>
      <c r="O276" t="s">
        <v>42</v>
      </c>
      <c r="P276">
        <v>32.549999999999997</v>
      </c>
    </row>
    <row r="277" spans="1:16" x14ac:dyDescent="0.25">
      <c r="A277" t="s">
        <v>342</v>
      </c>
      <c r="B277" s="1">
        <v>42126</v>
      </c>
      <c r="C277">
        <v>2015</v>
      </c>
      <c r="D277" t="s">
        <v>36</v>
      </c>
      <c r="E277" t="s">
        <v>37</v>
      </c>
      <c r="F277" t="s">
        <v>19</v>
      </c>
      <c r="G277" t="s">
        <v>56</v>
      </c>
      <c r="H277">
        <v>28.12</v>
      </c>
      <c r="I277">
        <v>167.06</v>
      </c>
      <c r="J277">
        <v>5941.04</v>
      </c>
      <c r="K277" t="s">
        <v>28</v>
      </c>
      <c r="L277" t="s">
        <v>47</v>
      </c>
      <c r="M277">
        <v>208.85</v>
      </c>
      <c r="N277">
        <v>323.87</v>
      </c>
      <c r="O277" t="s">
        <v>23</v>
      </c>
      <c r="P277">
        <v>23.63</v>
      </c>
    </row>
    <row r="278" spans="1:16" x14ac:dyDescent="0.25">
      <c r="A278" t="s">
        <v>343</v>
      </c>
      <c r="B278" s="1">
        <v>42829</v>
      </c>
      <c r="C278">
        <v>2017</v>
      </c>
      <c r="D278" t="s">
        <v>36</v>
      </c>
      <c r="E278" t="s">
        <v>37</v>
      </c>
      <c r="F278" t="s">
        <v>19</v>
      </c>
      <c r="G278" t="s">
        <v>27</v>
      </c>
      <c r="H278">
        <v>35.630000000000003</v>
      </c>
      <c r="I278">
        <v>70.59</v>
      </c>
      <c r="J278">
        <v>1981.08</v>
      </c>
      <c r="K278" t="s">
        <v>34</v>
      </c>
      <c r="L278" t="s">
        <v>41</v>
      </c>
      <c r="M278">
        <v>237.24</v>
      </c>
      <c r="N278">
        <v>888.85</v>
      </c>
      <c r="O278" t="s">
        <v>70</v>
      </c>
      <c r="P278">
        <v>20.41</v>
      </c>
    </row>
    <row r="279" spans="1:16" x14ac:dyDescent="0.25">
      <c r="A279" t="s">
        <v>344</v>
      </c>
      <c r="B279" s="1">
        <v>44746</v>
      </c>
      <c r="C279">
        <v>2022</v>
      </c>
      <c r="D279" t="s">
        <v>44</v>
      </c>
      <c r="E279" t="s">
        <v>67</v>
      </c>
      <c r="F279" t="s">
        <v>33</v>
      </c>
      <c r="G279" t="s">
        <v>56</v>
      </c>
      <c r="H279">
        <v>65.09</v>
      </c>
      <c r="I279">
        <v>329.76</v>
      </c>
      <c r="J279">
        <v>5066.17</v>
      </c>
      <c r="K279" t="s">
        <v>34</v>
      </c>
      <c r="L279" t="s">
        <v>41</v>
      </c>
      <c r="M279">
        <v>212.9</v>
      </c>
      <c r="N279">
        <v>713.28</v>
      </c>
      <c r="O279" t="s">
        <v>23</v>
      </c>
      <c r="P279">
        <v>27.11</v>
      </c>
    </row>
    <row r="280" spans="1:16" x14ac:dyDescent="0.25">
      <c r="A280" t="s">
        <v>345</v>
      </c>
      <c r="B280" s="1">
        <v>41634</v>
      </c>
      <c r="C280">
        <v>2013</v>
      </c>
      <c r="D280" t="s">
        <v>59</v>
      </c>
      <c r="E280" t="s">
        <v>60</v>
      </c>
      <c r="F280" t="s">
        <v>38</v>
      </c>
      <c r="G280" t="s">
        <v>27</v>
      </c>
      <c r="H280">
        <v>80.7</v>
      </c>
      <c r="I280">
        <v>228.6</v>
      </c>
      <c r="J280">
        <v>2832.76</v>
      </c>
      <c r="K280" t="s">
        <v>34</v>
      </c>
      <c r="L280" t="s">
        <v>29</v>
      </c>
      <c r="M280">
        <v>155.94999999999999</v>
      </c>
      <c r="N280">
        <v>576.48</v>
      </c>
      <c r="O280" t="s">
        <v>70</v>
      </c>
      <c r="P280">
        <v>26.88</v>
      </c>
    </row>
    <row r="281" spans="1:16" x14ac:dyDescent="0.25">
      <c r="A281" t="s">
        <v>346</v>
      </c>
      <c r="B281" s="1">
        <v>43197</v>
      </c>
      <c r="C281">
        <v>2018</v>
      </c>
      <c r="D281" t="s">
        <v>31</v>
      </c>
      <c r="E281" t="s">
        <v>117</v>
      </c>
      <c r="F281" t="s">
        <v>19</v>
      </c>
      <c r="G281" t="s">
        <v>46</v>
      </c>
      <c r="H281">
        <v>58.86</v>
      </c>
      <c r="I281">
        <v>61.46</v>
      </c>
      <c r="J281">
        <v>1044.0899999999999</v>
      </c>
      <c r="K281" t="s">
        <v>34</v>
      </c>
      <c r="L281" t="s">
        <v>29</v>
      </c>
      <c r="M281">
        <v>190.36</v>
      </c>
      <c r="N281">
        <v>793.77</v>
      </c>
      <c r="O281" t="s">
        <v>70</v>
      </c>
      <c r="P281">
        <v>24.48</v>
      </c>
    </row>
    <row r="282" spans="1:16" x14ac:dyDescent="0.25">
      <c r="A282" t="s">
        <v>347</v>
      </c>
      <c r="B282" s="1">
        <v>41781</v>
      </c>
      <c r="C282">
        <v>2014</v>
      </c>
      <c r="D282" t="s">
        <v>25</v>
      </c>
      <c r="E282" t="s">
        <v>87</v>
      </c>
      <c r="F282" t="s">
        <v>19</v>
      </c>
      <c r="G282" t="s">
        <v>20</v>
      </c>
      <c r="H282">
        <v>86.29</v>
      </c>
      <c r="I282">
        <v>221.5</v>
      </c>
      <c r="J282">
        <v>2566.88</v>
      </c>
      <c r="K282" t="s">
        <v>34</v>
      </c>
      <c r="L282" t="s">
        <v>47</v>
      </c>
      <c r="M282">
        <v>97.09</v>
      </c>
      <c r="N282">
        <v>717.29</v>
      </c>
      <c r="O282" t="s">
        <v>42</v>
      </c>
      <c r="P282">
        <v>33.5</v>
      </c>
    </row>
    <row r="283" spans="1:16" x14ac:dyDescent="0.25">
      <c r="A283" t="s">
        <v>348</v>
      </c>
      <c r="B283" s="1">
        <v>42132</v>
      </c>
      <c r="C283">
        <v>2015</v>
      </c>
      <c r="D283" t="s">
        <v>36</v>
      </c>
      <c r="E283" t="s">
        <v>77</v>
      </c>
      <c r="F283" t="s">
        <v>19</v>
      </c>
      <c r="G283" t="s">
        <v>56</v>
      </c>
      <c r="H283">
        <v>72.41</v>
      </c>
      <c r="I283">
        <v>357.16</v>
      </c>
      <c r="J283">
        <v>4932.3999999999996</v>
      </c>
      <c r="K283" t="s">
        <v>34</v>
      </c>
      <c r="L283" t="s">
        <v>47</v>
      </c>
      <c r="M283">
        <v>114.86</v>
      </c>
      <c r="N283">
        <v>618.57000000000005</v>
      </c>
      <c r="O283" t="s">
        <v>52</v>
      </c>
      <c r="P283">
        <v>31.05</v>
      </c>
    </row>
    <row r="284" spans="1:16" x14ac:dyDescent="0.25">
      <c r="A284" t="s">
        <v>349</v>
      </c>
      <c r="B284" s="1">
        <v>42105</v>
      </c>
      <c r="C284">
        <v>2015</v>
      </c>
      <c r="D284" t="s">
        <v>44</v>
      </c>
      <c r="E284" t="s">
        <v>45</v>
      </c>
      <c r="F284" t="s">
        <v>19</v>
      </c>
      <c r="G284" t="s">
        <v>39</v>
      </c>
      <c r="H284">
        <v>23.01</v>
      </c>
      <c r="I284">
        <v>96.82</v>
      </c>
      <c r="J284">
        <v>4207.8100000000004</v>
      </c>
      <c r="K284" t="s">
        <v>28</v>
      </c>
      <c r="L284" t="s">
        <v>47</v>
      </c>
      <c r="M284">
        <v>276.63</v>
      </c>
      <c r="N284">
        <v>871.87</v>
      </c>
      <c r="O284" t="s">
        <v>61</v>
      </c>
      <c r="P284">
        <v>24.5</v>
      </c>
    </row>
    <row r="285" spans="1:16" x14ac:dyDescent="0.25">
      <c r="A285" t="s">
        <v>350</v>
      </c>
      <c r="B285" s="1">
        <v>40905</v>
      </c>
      <c r="C285">
        <v>2011</v>
      </c>
      <c r="D285" t="s">
        <v>103</v>
      </c>
      <c r="E285" t="s">
        <v>107</v>
      </c>
      <c r="F285" t="s">
        <v>38</v>
      </c>
      <c r="G285" t="s">
        <v>56</v>
      </c>
      <c r="H285">
        <v>74.349999999999994</v>
      </c>
      <c r="I285">
        <v>397.86</v>
      </c>
      <c r="J285">
        <v>5351.12</v>
      </c>
      <c r="K285" t="s">
        <v>40</v>
      </c>
      <c r="L285" t="s">
        <v>49</v>
      </c>
      <c r="M285">
        <v>286.73</v>
      </c>
      <c r="N285">
        <v>1099.5899999999999</v>
      </c>
      <c r="O285" t="s">
        <v>23</v>
      </c>
      <c r="P285">
        <v>23.33</v>
      </c>
    </row>
    <row r="286" spans="1:16" x14ac:dyDescent="0.25">
      <c r="A286" t="s">
        <v>351</v>
      </c>
      <c r="B286" s="1">
        <v>42327</v>
      </c>
      <c r="C286">
        <v>2015</v>
      </c>
      <c r="D286" t="s">
        <v>36</v>
      </c>
      <c r="E286" t="s">
        <v>51</v>
      </c>
      <c r="F286" t="s">
        <v>38</v>
      </c>
      <c r="G286" t="s">
        <v>27</v>
      </c>
      <c r="H286">
        <v>30.11</v>
      </c>
      <c r="I286">
        <v>183.89</v>
      </c>
      <c r="J286">
        <v>6107.28</v>
      </c>
      <c r="K286" t="s">
        <v>28</v>
      </c>
      <c r="L286" t="s">
        <v>29</v>
      </c>
      <c r="M286">
        <v>63.42</v>
      </c>
      <c r="N286">
        <v>834.4</v>
      </c>
      <c r="O286" t="s">
        <v>61</v>
      </c>
      <c r="P286">
        <v>34.159999999999997</v>
      </c>
    </row>
    <row r="287" spans="1:16" x14ac:dyDescent="0.25">
      <c r="A287" t="s">
        <v>352</v>
      </c>
      <c r="B287" s="1">
        <v>40691</v>
      </c>
      <c r="C287">
        <v>2011</v>
      </c>
      <c r="D287" t="s">
        <v>103</v>
      </c>
      <c r="E287" t="s">
        <v>228</v>
      </c>
      <c r="F287" t="s">
        <v>19</v>
      </c>
      <c r="G287" t="s">
        <v>46</v>
      </c>
      <c r="H287">
        <v>53.45</v>
      </c>
      <c r="I287">
        <v>185.93</v>
      </c>
      <c r="J287">
        <v>3478.64</v>
      </c>
      <c r="K287" t="s">
        <v>40</v>
      </c>
      <c r="L287" t="s">
        <v>29</v>
      </c>
      <c r="M287">
        <v>84.34</v>
      </c>
      <c r="N287">
        <v>400.3</v>
      </c>
      <c r="O287" t="s">
        <v>52</v>
      </c>
      <c r="P287">
        <v>34.81</v>
      </c>
    </row>
    <row r="288" spans="1:16" x14ac:dyDescent="0.25">
      <c r="A288" t="s">
        <v>353</v>
      </c>
      <c r="B288" s="1">
        <v>44391</v>
      </c>
      <c r="C288">
        <v>2021</v>
      </c>
      <c r="D288" t="s">
        <v>103</v>
      </c>
      <c r="E288" t="s">
        <v>107</v>
      </c>
      <c r="F288" t="s">
        <v>33</v>
      </c>
      <c r="G288" t="s">
        <v>64</v>
      </c>
      <c r="H288">
        <v>49.27</v>
      </c>
      <c r="I288">
        <v>235.82</v>
      </c>
      <c r="J288">
        <v>4786.2</v>
      </c>
      <c r="K288" t="s">
        <v>40</v>
      </c>
      <c r="L288" t="s">
        <v>47</v>
      </c>
      <c r="M288">
        <v>128.35</v>
      </c>
      <c r="N288">
        <v>258.01</v>
      </c>
      <c r="O288" t="s">
        <v>52</v>
      </c>
      <c r="P288">
        <v>24.1</v>
      </c>
    </row>
    <row r="289" spans="1:16" x14ac:dyDescent="0.25">
      <c r="A289" t="s">
        <v>354</v>
      </c>
      <c r="B289" s="1">
        <v>42938</v>
      </c>
      <c r="C289">
        <v>2017</v>
      </c>
      <c r="D289" t="s">
        <v>44</v>
      </c>
      <c r="E289" t="s">
        <v>45</v>
      </c>
      <c r="F289" t="s">
        <v>33</v>
      </c>
      <c r="G289" t="s">
        <v>56</v>
      </c>
      <c r="H289">
        <v>61.83</v>
      </c>
      <c r="I289">
        <v>296.83999999999997</v>
      </c>
      <c r="J289">
        <v>4800.93</v>
      </c>
      <c r="K289" t="s">
        <v>28</v>
      </c>
      <c r="L289" t="s">
        <v>49</v>
      </c>
      <c r="M289">
        <v>157.26</v>
      </c>
      <c r="N289">
        <v>677.4</v>
      </c>
      <c r="O289" t="s">
        <v>23</v>
      </c>
      <c r="P289">
        <v>20.57</v>
      </c>
    </row>
    <row r="290" spans="1:16" x14ac:dyDescent="0.25">
      <c r="A290" t="s">
        <v>355</v>
      </c>
      <c r="B290" s="1">
        <v>44676</v>
      </c>
      <c r="C290">
        <v>2022</v>
      </c>
      <c r="D290" t="s">
        <v>25</v>
      </c>
      <c r="E290" t="s">
        <v>87</v>
      </c>
      <c r="F290" t="s">
        <v>19</v>
      </c>
      <c r="G290" t="s">
        <v>56</v>
      </c>
      <c r="H290">
        <v>2.77</v>
      </c>
      <c r="I290">
        <v>2.84</v>
      </c>
      <c r="J290">
        <v>1024.74</v>
      </c>
      <c r="K290" t="s">
        <v>40</v>
      </c>
      <c r="L290" t="s">
        <v>47</v>
      </c>
      <c r="M290">
        <v>106.57</v>
      </c>
      <c r="N290">
        <v>1076.99</v>
      </c>
      <c r="O290" t="s">
        <v>70</v>
      </c>
      <c r="P290">
        <v>21.93</v>
      </c>
    </row>
    <row r="291" spans="1:16" x14ac:dyDescent="0.25">
      <c r="A291" t="s">
        <v>356</v>
      </c>
      <c r="B291" s="1">
        <v>41186</v>
      </c>
      <c r="C291">
        <v>2012</v>
      </c>
      <c r="D291" t="s">
        <v>59</v>
      </c>
      <c r="E291" t="s">
        <v>63</v>
      </c>
      <c r="F291" t="s">
        <v>33</v>
      </c>
      <c r="G291" t="s">
        <v>64</v>
      </c>
      <c r="H291">
        <v>30.52</v>
      </c>
      <c r="I291">
        <v>83.78</v>
      </c>
      <c r="J291">
        <v>2744.97</v>
      </c>
      <c r="K291" t="s">
        <v>34</v>
      </c>
      <c r="L291" t="s">
        <v>49</v>
      </c>
      <c r="M291">
        <v>158.41999999999999</v>
      </c>
      <c r="N291">
        <v>886.78</v>
      </c>
      <c r="O291" t="s">
        <v>42</v>
      </c>
      <c r="P291">
        <v>25.14</v>
      </c>
    </row>
    <row r="292" spans="1:16" x14ac:dyDescent="0.25">
      <c r="A292" t="s">
        <v>357</v>
      </c>
      <c r="B292" s="1">
        <v>41307</v>
      </c>
      <c r="C292">
        <v>2012</v>
      </c>
      <c r="D292" t="s">
        <v>44</v>
      </c>
      <c r="E292" t="s">
        <v>45</v>
      </c>
      <c r="F292" t="s">
        <v>38</v>
      </c>
      <c r="G292" t="s">
        <v>64</v>
      </c>
      <c r="H292">
        <v>23.61</v>
      </c>
      <c r="I292">
        <v>126.62</v>
      </c>
      <c r="J292">
        <v>5363.01</v>
      </c>
      <c r="K292" t="s">
        <v>40</v>
      </c>
      <c r="L292" t="s">
        <v>22</v>
      </c>
      <c r="M292">
        <v>102.8</v>
      </c>
      <c r="N292">
        <v>221.91</v>
      </c>
      <c r="O292" t="s">
        <v>61</v>
      </c>
      <c r="P292">
        <v>22.53</v>
      </c>
    </row>
    <row r="293" spans="1:16" x14ac:dyDescent="0.25">
      <c r="A293" t="s">
        <v>358</v>
      </c>
      <c r="B293" s="1">
        <v>41754</v>
      </c>
      <c r="C293">
        <v>2014</v>
      </c>
      <c r="D293" t="s">
        <v>36</v>
      </c>
      <c r="E293" t="s">
        <v>77</v>
      </c>
      <c r="F293" t="s">
        <v>19</v>
      </c>
      <c r="G293" t="s">
        <v>27</v>
      </c>
      <c r="H293">
        <v>5.81</v>
      </c>
      <c r="I293">
        <v>40.479999999999997</v>
      </c>
      <c r="J293">
        <v>6968.08</v>
      </c>
      <c r="K293" t="s">
        <v>21</v>
      </c>
      <c r="L293" t="s">
        <v>22</v>
      </c>
      <c r="M293">
        <v>213.39</v>
      </c>
      <c r="N293">
        <v>219.74</v>
      </c>
      <c r="O293" t="s">
        <v>23</v>
      </c>
      <c r="P293">
        <v>26.25</v>
      </c>
    </row>
    <row r="294" spans="1:16" x14ac:dyDescent="0.25">
      <c r="A294" t="s">
        <v>359</v>
      </c>
      <c r="B294" s="1">
        <v>42864</v>
      </c>
      <c r="C294">
        <v>2017</v>
      </c>
      <c r="D294" t="s">
        <v>59</v>
      </c>
      <c r="E294" t="s">
        <v>63</v>
      </c>
      <c r="F294" t="s">
        <v>19</v>
      </c>
      <c r="G294" t="s">
        <v>56</v>
      </c>
      <c r="H294">
        <v>21.34</v>
      </c>
      <c r="I294">
        <v>109.14</v>
      </c>
      <c r="J294">
        <v>5114.4399999999996</v>
      </c>
      <c r="K294" t="s">
        <v>21</v>
      </c>
      <c r="L294" t="s">
        <v>41</v>
      </c>
      <c r="M294">
        <v>125.28</v>
      </c>
      <c r="N294">
        <v>861.66</v>
      </c>
      <c r="O294" t="s">
        <v>61</v>
      </c>
      <c r="P294">
        <v>24.05</v>
      </c>
    </row>
    <row r="295" spans="1:16" x14ac:dyDescent="0.25">
      <c r="A295" t="s">
        <v>360</v>
      </c>
      <c r="B295" s="1">
        <v>43203</v>
      </c>
      <c r="C295">
        <v>2018</v>
      </c>
      <c r="D295" t="s">
        <v>36</v>
      </c>
      <c r="E295" t="s">
        <v>37</v>
      </c>
      <c r="F295" t="s">
        <v>19</v>
      </c>
      <c r="G295" t="s">
        <v>27</v>
      </c>
      <c r="H295">
        <v>12.66</v>
      </c>
      <c r="I295">
        <v>21.32</v>
      </c>
      <c r="J295">
        <v>1684.08</v>
      </c>
      <c r="K295" t="s">
        <v>21</v>
      </c>
      <c r="L295" t="s">
        <v>49</v>
      </c>
      <c r="M295">
        <v>174.43</v>
      </c>
      <c r="N295">
        <v>809</v>
      </c>
      <c r="O295" t="s">
        <v>70</v>
      </c>
      <c r="P295">
        <v>32.47</v>
      </c>
    </row>
    <row r="296" spans="1:16" x14ac:dyDescent="0.25">
      <c r="A296" t="s">
        <v>361</v>
      </c>
      <c r="B296" s="1">
        <v>41937</v>
      </c>
      <c r="C296">
        <v>2014</v>
      </c>
      <c r="D296" t="s">
        <v>17</v>
      </c>
      <c r="E296" t="s">
        <v>72</v>
      </c>
      <c r="F296" t="s">
        <v>33</v>
      </c>
      <c r="G296" t="s">
        <v>64</v>
      </c>
      <c r="H296">
        <v>55.27</v>
      </c>
      <c r="I296">
        <v>357.16</v>
      </c>
      <c r="J296">
        <v>6462.14</v>
      </c>
      <c r="K296" t="s">
        <v>28</v>
      </c>
      <c r="L296" t="s">
        <v>29</v>
      </c>
      <c r="M296">
        <v>132.65</v>
      </c>
      <c r="N296">
        <v>202.74</v>
      </c>
      <c r="O296" t="s">
        <v>23</v>
      </c>
      <c r="P296">
        <v>33.6</v>
      </c>
    </row>
    <row r="297" spans="1:16" x14ac:dyDescent="0.25">
      <c r="A297" t="s">
        <v>362</v>
      </c>
      <c r="B297" s="1">
        <v>44655</v>
      </c>
      <c r="C297">
        <v>2022</v>
      </c>
      <c r="D297" t="s">
        <v>103</v>
      </c>
      <c r="E297" t="s">
        <v>104</v>
      </c>
      <c r="F297" t="s">
        <v>19</v>
      </c>
      <c r="G297" t="s">
        <v>64</v>
      </c>
      <c r="H297">
        <v>72.63</v>
      </c>
      <c r="I297">
        <v>116.77</v>
      </c>
      <c r="J297">
        <v>1607.74</v>
      </c>
      <c r="K297" t="s">
        <v>34</v>
      </c>
      <c r="L297" t="s">
        <v>22</v>
      </c>
      <c r="M297">
        <v>211.08</v>
      </c>
      <c r="N297">
        <v>656.75</v>
      </c>
      <c r="O297" t="s">
        <v>70</v>
      </c>
      <c r="P297">
        <v>23.96</v>
      </c>
    </row>
    <row r="298" spans="1:16" x14ac:dyDescent="0.25">
      <c r="A298" t="s">
        <v>363</v>
      </c>
      <c r="B298" s="1">
        <v>40518</v>
      </c>
      <c r="C298">
        <v>2010</v>
      </c>
      <c r="D298" t="s">
        <v>44</v>
      </c>
      <c r="E298" t="s">
        <v>45</v>
      </c>
      <c r="F298" t="s">
        <v>38</v>
      </c>
      <c r="G298" t="s">
        <v>20</v>
      </c>
      <c r="H298">
        <v>80.36</v>
      </c>
      <c r="I298">
        <v>231.13</v>
      </c>
      <c r="J298">
        <v>2876.24</v>
      </c>
      <c r="K298" t="s">
        <v>21</v>
      </c>
      <c r="L298" t="s">
        <v>41</v>
      </c>
      <c r="M298">
        <v>73.75</v>
      </c>
      <c r="N298">
        <v>958.2</v>
      </c>
      <c r="O298" t="s">
        <v>23</v>
      </c>
      <c r="P298">
        <v>20.149999999999999</v>
      </c>
    </row>
    <row r="299" spans="1:16" x14ac:dyDescent="0.25">
      <c r="A299" t="s">
        <v>364</v>
      </c>
      <c r="B299" s="1">
        <v>42850</v>
      </c>
      <c r="C299">
        <v>2017</v>
      </c>
      <c r="D299" t="s">
        <v>31</v>
      </c>
      <c r="E299" t="s">
        <v>32</v>
      </c>
      <c r="F299" t="s">
        <v>19</v>
      </c>
      <c r="G299" t="s">
        <v>20</v>
      </c>
      <c r="H299">
        <v>87.97</v>
      </c>
      <c r="I299">
        <v>137.03</v>
      </c>
      <c r="J299">
        <v>1557.71</v>
      </c>
      <c r="K299" t="s">
        <v>34</v>
      </c>
      <c r="L299" t="s">
        <v>29</v>
      </c>
      <c r="M299">
        <v>95.72</v>
      </c>
      <c r="N299">
        <v>600.78</v>
      </c>
      <c r="O299" t="s">
        <v>52</v>
      </c>
      <c r="P299">
        <v>24.08</v>
      </c>
    </row>
    <row r="300" spans="1:16" x14ac:dyDescent="0.25">
      <c r="A300" t="s">
        <v>365</v>
      </c>
      <c r="B300" s="1">
        <v>44095</v>
      </c>
      <c r="C300">
        <v>2020</v>
      </c>
      <c r="D300" t="s">
        <v>44</v>
      </c>
      <c r="E300" t="s">
        <v>99</v>
      </c>
      <c r="F300" t="s">
        <v>33</v>
      </c>
      <c r="G300" t="s">
        <v>64</v>
      </c>
      <c r="H300">
        <v>14.12</v>
      </c>
      <c r="I300">
        <v>75.66</v>
      </c>
      <c r="J300">
        <v>5358.47</v>
      </c>
      <c r="K300" t="s">
        <v>40</v>
      </c>
      <c r="L300" t="s">
        <v>41</v>
      </c>
      <c r="M300">
        <v>75.930000000000007</v>
      </c>
      <c r="N300">
        <v>1111.23</v>
      </c>
      <c r="O300" t="s">
        <v>52</v>
      </c>
      <c r="P300">
        <v>32.03</v>
      </c>
    </row>
    <row r="301" spans="1:16" x14ac:dyDescent="0.25">
      <c r="A301" t="s">
        <v>366</v>
      </c>
      <c r="B301" s="1">
        <v>44882</v>
      </c>
      <c r="C301">
        <v>2022</v>
      </c>
      <c r="D301" t="s">
        <v>59</v>
      </c>
      <c r="E301" t="s">
        <v>63</v>
      </c>
      <c r="F301" t="s">
        <v>38</v>
      </c>
      <c r="G301" t="s">
        <v>27</v>
      </c>
      <c r="H301">
        <v>3.85</v>
      </c>
      <c r="I301">
        <v>19.66</v>
      </c>
      <c r="J301">
        <v>5106.78</v>
      </c>
      <c r="K301" t="s">
        <v>40</v>
      </c>
      <c r="L301" t="s">
        <v>49</v>
      </c>
      <c r="M301">
        <v>170.77</v>
      </c>
      <c r="N301">
        <v>688.12</v>
      </c>
      <c r="O301" t="s">
        <v>52</v>
      </c>
      <c r="P301">
        <v>26.61</v>
      </c>
    </row>
    <row r="302" spans="1:16" x14ac:dyDescent="0.25">
      <c r="A302" t="s">
        <v>367</v>
      </c>
      <c r="B302" s="1">
        <v>40313</v>
      </c>
      <c r="C302">
        <v>2010</v>
      </c>
      <c r="D302" t="s">
        <v>17</v>
      </c>
      <c r="E302" t="s">
        <v>72</v>
      </c>
      <c r="F302" t="s">
        <v>19</v>
      </c>
      <c r="G302" t="s">
        <v>39</v>
      </c>
      <c r="H302">
        <v>52.96</v>
      </c>
      <c r="I302">
        <v>289.25</v>
      </c>
      <c r="J302">
        <v>5461.74</v>
      </c>
      <c r="K302" t="s">
        <v>40</v>
      </c>
      <c r="L302" t="s">
        <v>47</v>
      </c>
      <c r="M302">
        <v>294.47000000000003</v>
      </c>
      <c r="N302">
        <v>869.84</v>
      </c>
      <c r="O302" t="s">
        <v>70</v>
      </c>
      <c r="P302">
        <v>27.79</v>
      </c>
    </row>
    <row r="303" spans="1:16" x14ac:dyDescent="0.25">
      <c r="A303" t="s">
        <v>368</v>
      </c>
      <c r="B303" s="1">
        <v>43963</v>
      </c>
      <c r="C303">
        <v>2020</v>
      </c>
      <c r="D303" t="s">
        <v>25</v>
      </c>
      <c r="E303" t="s">
        <v>87</v>
      </c>
      <c r="F303" t="s">
        <v>19</v>
      </c>
      <c r="G303" t="s">
        <v>56</v>
      </c>
      <c r="H303">
        <v>48.71</v>
      </c>
      <c r="I303">
        <v>242.69</v>
      </c>
      <c r="J303">
        <v>4982.26</v>
      </c>
      <c r="K303" t="s">
        <v>28</v>
      </c>
      <c r="L303" t="s">
        <v>41</v>
      </c>
      <c r="M303">
        <v>87.16</v>
      </c>
      <c r="N303">
        <v>1026.44</v>
      </c>
      <c r="O303" t="s">
        <v>61</v>
      </c>
      <c r="P303">
        <v>20.82</v>
      </c>
    </row>
    <row r="304" spans="1:16" x14ac:dyDescent="0.25">
      <c r="A304" t="s">
        <v>369</v>
      </c>
      <c r="B304" s="1">
        <v>42983</v>
      </c>
      <c r="C304">
        <v>2017</v>
      </c>
      <c r="D304" t="s">
        <v>59</v>
      </c>
      <c r="E304" t="s">
        <v>63</v>
      </c>
      <c r="F304" t="s">
        <v>33</v>
      </c>
      <c r="G304" t="s">
        <v>64</v>
      </c>
      <c r="H304">
        <v>75.39</v>
      </c>
      <c r="I304">
        <v>220.43</v>
      </c>
      <c r="J304">
        <v>2923.8</v>
      </c>
      <c r="K304" t="s">
        <v>34</v>
      </c>
      <c r="L304" t="s">
        <v>29</v>
      </c>
      <c r="M304">
        <v>292.54000000000002</v>
      </c>
      <c r="N304">
        <v>250.35</v>
      </c>
      <c r="O304" t="s">
        <v>42</v>
      </c>
      <c r="P304">
        <v>28.26</v>
      </c>
    </row>
    <row r="305" spans="1:16" x14ac:dyDescent="0.25">
      <c r="A305" t="s">
        <v>370</v>
      </c>
      <c r="B305" s="1">
        <v>40852</v>
      </c>
      <c r="C305">
        <v>2011</v>
      </c>
      <c r="D305" t="s">
        <v>44</v>
      </c>
      <c r="E305" t="s">
        <v>45</v>
      </c>
      <c r="F305" t="s">
        <v>38</v>
      </c>
      <c r="G305" t="s">
        <v>46</v>
      </c>
      <c r="H305">
        <v>80.319999999999993</v>
      </c>
      <c r="I305">
        <v>296.27</v>
      </c>
      <c r="J305">
        <v>3688.59</v>
      </c>
      <c r="K305" t="s">
        <v>28</v>
      </c>
      <c r="L305" t="s">
        <v>22</v>
      </c>
      <c r="M305">
        <v>161.77000000000001</v>
      </c>
      <c r="N305">
        <v>318.70999999999998</v>
      </c>
      <c r="O305" t="s">
        <v>52</v>
      </c>
      <c r="P305">
        <v>31.18</v>
      </c>
    </row>
    <row r="306" spans="1:16" x14ac:dyDescent="0.25">
      <c r="A306" t="s">
        <v>371</v>
      </c>
      <c r="B306" s="1">
        <v>40292</v>
      </c>
      <c r="C306">
        <v>2010</v>
      </c>
      <c r="D306" t="s">
        <v>36</v>
      </c>
      <c r="E306" t="s">
        <v>51</v>
      </c>
      <c r="F306" t="s">
        <v>19</v>
      </c>
      <c r="G306" t="s">
        <v>27</v>
      </c>
      <c r="H306">
        <v>1.02</v>
      </c>
      <c r="I306">
        <v>1.58</v>
      </c>
      <c r="J306">
        <v>1545.37</v>
      </c>
      <c r="K306" t="s">
        <v>34</v>
      </c>
      <c r="L306" t="s">
        <v>22</v>
      </c>
      <c r="M306">
        <v>272.52999999999997</v>
      </c>
      <c r="N306">
        <v>762.33</v>
      </c>
      <c r="O306" t="s">
        <v>52</v>
      </c>
      <c r="P306">
        <v>34.26</v>
      </c>
    </row>
    <row r="307" spans="1:16" x14ac:dyDescent="0.25">
      <c r="A307" t="s">
        <v>372</v>
      </c>
      <c r="B307" s="1">
        <v>43130</v>
      </c>
      <c r="C307">
        <v>2017</v>
      </c>
      <c r="D307" t="s">
        <v>44</v>
      </c>
      <c r="E307" t="s">
        <v>45</v>
      </c>
      <c r="F307" t="s">
        <v>38</v>
      </c>
      <c r="G307" t="s">
        <v>27</v>
      </c>
      <c r="H307">
        <v>76.97</v>
      </c>
      <c r="I307">
        <v>354.04</v>
      </c>
      <c r="J307">
        <v>4599.71</v>
      </c>
      <c r="K307" t="s">
        <v>34</v>
      </c>
      <c r="L307" t="s">
        <v>49</v>
      </c>
      <c r="M307">
        <v>228.98</v>
      </c>
      <c r="N307">
        <v>314.02</v>
      </c>
      <c r="O307" t="s">
        <v>42</v>
      </c>
      <c r="P307">
        <v>20.03</v>
      </c>
    </row>
    <row r="308" spans="1:16" x14ac:dyDescent="0.25">
      <c r="A308" t="s">
        <v>373</v>
      </c>
      <c r="B308" s="1">
        <v>42134</v>
      </c>
      <c r="C308">
        <v>2015</v>
      </c>
      <c r="D308" t="s">
        <v>59</v>
      </c>
      <c r="E308" t="s">
        <v>93</v>
      </c>
      <c r="F308" t="s">
        <v>19</v>
      </c>
      <c r="G308" t="s">
        <v>64</v>
      </c>
      <c r="H308">
        <v>5.53</v>
      </c>
      <c r="I308">
        <v>10.98</v>
      </c>
      <c r="J308">
        <v>1984.93</v>
      </c>
      <c r="K308" t="s">
        <v>40</v>
      </c>
      <c r="L308" t="s">
        <v>41</v>
      </c>
      <c r="M308">
        <v>255.46</v>
      </c>
      <c r="N308">
        <v>942.51</v>
      </c>
      <c r="O308" t="s">
        <v>52</v>
      </c>
      <c r="P308">
        <v>21.6</v>
      </c>
    </row>
    <row r="309" spans="1:16" x14ac:dyDescent="0.25">
      <c r="A309" t="s">
        <v>374</v>
      </c>
      <c r="B309" s="1">
        <v>42637</v>
      </c>
      <c r="C309">
        <v>2016</v>
      </c>
      <c r="D309" t="s">
        <v>103</v>
      </c>
      <c r="E309" t="s">
        <v>104</v>
      </c>
      <c r="F309" t="s">
        <v>33</v>
      </c>
      <c r="G309" t="s">
        <v>46</v>
      </c>
      <c r="H309">
        <v>82.63</v>
      </c>
      <c r="I309">
        <v>177.11</v>
      </c>
      <c r="J309">
        <v>2143.4699999999998</v>
      </c>
      <c r="K309" t="s">
        <v>34</v>
      </c>
      <c r="L309" t="s">
        <v>29</v>
      </c>
      <c r="M309">
        <v>76.94</v>
      </c>
      <c r="N309">
        <v>614.47</v>
      </c>
      <c r="O309" t="s">
        <v>61</v>
      </c>
      <c r="P309">
        <v>21.85</v>
      </c>
    </row>
    <row r="310" spans="1:16" x14ac:dyDescent="0.25">
      <c r="A310" t="s">
        <v>375</v>
      </c>
      <c r="B310" s="1">
        <v>43297</v>
      </c>
      <c r="C310">
        <v>2018</v>
      </c>
      <c r="D310" t="s">
        <v>17</v>
      </c>
      <c r="E310" t="s">
        <v>54</v>
      </c>
      <c r="F310" t="s">
        <v>33</v>
      </c>
      <c r="G310" t="s">
        <v>46</v>
      </c>
      <c r="H310">
        <v>1.43</v>
      </c>
      <c r="I310">
        <v>7.75</v>
      </c>
      <c r="J310">
        <v>5417.28</v>
      </c>
      <c r="K310" t="s">
        <v>28</v>
      </c>
      <c r="L310" t="s">
        <v>47</v>
      </c>
      <c r="M310">
        <v>259.7</v>
      </c>
      <c r="N310">
        <v>682.93</v>
      </c>
      <c r="O310" t="s">
        <v>61</v>
      </c>
      <c r="P310">
        <v>31.72</v>
      </c>
    </row>
    <row r="311" spans="1:16" x14ac:dyDescent="0.25">
      <c r="A311" t="s">
        <v>376</v>
      </c>
      <c r="B311" s="1">
        <v>41124</v>
      </c>
      <c r="C311">
        <v>2012</v>
      </c>
      <c r="D311" t="s">
        <v>103</v>
      </c>
      <c r="E311" t="s">
        <v>228</v>
      </c>
      <c r="F311" t="s">
        <v>33</v>
      </c>
      <c r="G311" t="s">
        <v>46</v>
      </c>
      <c r="H311">
        <v>66.09</v>
      </c>
      <c r="I311">
        <v>306.45999999999998</v>
      </c>
      <c r="J311">
        <v>4636.96</v>
      </c>
      <c r="K311" t="s">
        <v>34</v>
      </c>
      <c r="L311" t="s">
        <v>49</v>
      </c>
      <c r="M311">
        <v>176.03</v>
      </c>
      <c r="N311">
        <v>584.66</v>
      </c>
      <c r="O311" t="s">
        <v>61</v>
      </c>
      <c r="P311">
        <v>33.74</v>
      </c>
    </row>
    <row r="312" spans="1:16" x14ac:dyDescent="0.25">
      <c r="A312" t="s">
        <v>377</v>
      </c>
      <c r="B312" s="1">
        <v>42085</v>
      </c>
      <c r="C312">
        <v>2014</v>
      </c>
      <c r="D312" t="s">
        <v>36</v>
      </c>
      <c r="E312" t="s">
        <v>51</v>
      </c>
      <c r="F312" t="s">
        <v>38</v>
      </c>
      <c r="G312" t="s">
        <v>56</v>
      </c>
      <c r="H312">
        <v>14.68</v>
      </c>
      <c r="I312">
        <v>67.75</v>
      </c>
      <c r="J312">
        <v>4615.1499999999996</v>
      </c>
      <c r="K312" t="s">
        <v>34</v>
      </c>
      <c r="L312" t="s">
        <v>41</v>
      </c>
      <c r="M312">
        <v>260.77</v>
      </c>
      <c r="N312">
        <v>747.81</v>
      </c>
      <c r="O312" t="s">
        <v>70</v>
      </c>
      <c r="P312">
        <v>30.68</v>
      </c>
    </row>
    <row r="313" spans="1:16" x14ac:dyDescent="0.25">
      <c r="A313" t="s">
        <v>378</v>
      </c>
      <c r="B313" s="1">
        <v>43600</v>
      </c>
      <c r="C313">
        <v>2019</v>
      </c>
      <c r="D313" t="s">
        <v>103</v>
      </c>
      <c r="E313" t="s">
        <v>104</v>
      </c>
      <c r="F313" t="s">
        <v>19</v>
      </c>
      <c r="G313" t="s">
        <v>20</v>
      </c>
      <c r="H313">
        <v>68.97</v>
      </c>
      <c r="I313">
        <v>450.18</v>
      </c>
      <c r="J313">
        <v>6527.15</v>
      </c>
      <c r="K313" t="s">
        <v>40</v>
      </c>
      <c r="L313" t="s">
        <v>49</v>
      </c>
      <c r="M313">
        <v>295.33</v>
      </c>
      <c r="N313">
        <v>850.09</v>
      </c>
      <c r="O313" t="s">
        <v>42</v>
      </c>
      <c r="P313">
        <v>27.56</v>
      </c>
    </row>
    <row r="314" spans="1:16" x14ac:dyDescent="0.25">
      <c r="A314" t="s">
        <v>379</v>
      </c>
      <c r="B314" s="1">
        <v>44974</v>
      </c>
      <c r="C314">
        <v>2022</v>
      </c>
      <c r="D314" t="s">
        <v>17</v>
      </c>
      <c r="E314" t="s">
        <v>18</v>
      </c>
      <c r="F314" t="s">
        <v>38</v>
      </c>
      <c r="G314" t="s">
        <v>27</v>
      </c>
      <c r="H314">
        <v>48.56</v>
      </c>
      <c r="I314">
        <v>214.82</v>
      </c>
      <c r="J314">
        <v>4423.83</v>
      </c>
      <c r="K314" t="s">
        <v>28</v>
      </c>
      <c r="L314" t="s">
        <v>22</v>
      </c>
      <c r="M314">
        <v>218.56</v>
      </c>
      <c r="N314">
        <v>1093.8699999999999</v>
      </c>
      <c r="O314" t="s">
        <v>61</v>
      </c>
      <c r="P314">
        <v>24.29</v>
      </c>
    </row>
    <row r="315" spans="1:16" x14ac:dyDescent="0.25">
      <c r="A315" t="s">
        <v>380</v>
      </c>
      <c r="B315" s="1">
        <v>40520</v>
      </c>
      <c r="C315">
        <v>2010</v>
      </c>
      <c r="D315" t="s">
        <v>59</v>
      </c>
      <c r="E315" t="s">
        <v>60</v>
      </c>
      <c r="F315" t="s">
        <v>38</v>
      </c>
      <c r="G315" t="s">
        <v>56</v>
      </c>
      <c r="H315">
        <v>6.25</v>
      </c>
      <c r="I315">
        <v>8.3699999999999992</v>
      </c>
      <c r="J315">
        <v>1339.63</v>
      </c>
      <c r="K315" t="s">
        <v>34</v>
      </c>
      <c r="L315" t="s">
        <v>22</v>
      </c>
      <c r="M315">
        <v>237.55</v>
      </c>
      <c r="N315">
        <v>360.94</v>
      </c>
      <c r="O315" t="s">
        <v>70</v>
      </c>
      <c r="P315">
        <v>30.25</v>
      </c>
    </row>
    <row r="316" spans="1:16" x14ac:dyDescent="0.25">
      <c r="A316" t="s">
        <v>381</v>
      </c>
      <c r="B316" s="1">
        <v>41415</v>
      </c>
      <c r="C316">
        <v>2013</v>
      </c>
      <c r="D316" t="s">
        <v>17</v>
      </c>
      <c r="E316" t="s">
        <v>72</v>
      </c>
      <c r="F316" t="s">
        <v>19</v>
      </c>
      <c r="G316" t="s">
        <v>64</v>
      </c>
      <c r="H316">
        <v>36.51</v>
      </c>
      <c r="I316">
        <v>135.66</v>
      </c>
      <c r="J316">
        <v>3715.57</v>
      </c>
      <c r="K316" t="s">
        <v>40</v>
      </c>
      <c r="L316" t="s">
        <v>49</v>
      </c>
      <c r="M316">
        <v>235.6</v>
      </c>
      <c r="N316">
        <v>761.27</v>
      </c>
      <c r="O316" t="s">
        <v>42</v>
      </c>
      <c r="P316">
        <v>27.66</v>
      </c>
    </row>
    <row r="317" spans="1:16" x14ac:dyDescent="0.25">
      <c r="A317" t="s">
        <v>382</v>
      </c>
      <c r="B317" s="1">
        <v>40596</v>
      </c>
      <c r="C317">
        <v>2010</v>
      </c>
      <c r="D317" t="s">
        <v>17</v>
      </c>
      <c r="E317" t="s">
        <v>54</v>
      </c>
      <c r="F317" t="s">
        <v>38</v>
      </c>
      <c r="G317" t="s">
        <v>46</v>
      </c>
      <c r="H317">
        <v>42.24</v>
      </c>
      <c r="I317">
        <v>241.98</v>
      </c>
      <c r="J317">
        <v>5728.67</v>
      </c>
      <c r="K317" t="s">
        <v>34</v>
      </c>
      <c r="L317" t="s">
        <v>41</v>
      </c>
      <c r="M317">
        <v>291.45999999999998</v>
      </c>
      <c r="N317">
        <v>253.8</v>
      </c>
      <c r="O317" t="s">
        <v>70</v>
      </c>
      <c r="P317">
        <v>23.05</v>
      </c>
    </row>
    <row r="318" spans="1:16" x14ac:dyDescent="0.25">
      <c r="A318" t="s">
        <v>383</v>
      </c>
      <c r="B318" s="1">
        <v>44330</v>
      </c>
      <c r="C318">
        <v>2021</v>
      </c>
      <c r="D318" t="s">
        <v>17</v>
      </c>
      <c r="E318" t="s">
        <v>54</v>
      </c>
      <c r="F318" t="s">
        <v>19</v>
      </c>
      <c r="G318" t="s">
        <v>20</v>
      </c>
      <c r="H318">
        <v>75.760000000000005</v>
      </c>
      <c r="I318">
        <v>324.23</v>
      </c>
      <c r="J318">
        <v>4279.6899999999996</v>
      </c>
      <c r="K318" t="s">
        <v>40</v>
      </c>
      <c r="L318" t="s">
        <v>22</v>
      </c>
      <c r="M318">
        <v>244.04</v>
      </c>
      <c r="N318">
        <v>1164.29</v>
      </c>
      <c r="O318" t="s">
        <v>70</v>
      </c>
      <c r="P318">
        <v>26.73</v>
      </c>
    </row>
    <row r="319" spans="1:16" x14ac:dyDescent="0.25">
      <c r="A319" t="s">
        <v>384</v>
      </c>
      <c r="B319" s="1">
        <v>44316</v>
      </c>
      <c r="C319">
        <v>2021</v>
      </c>
      <c r="D319" t="s">
        <v>103</v>
      </c>
      <c r="E319" t="s">
        <v>104</v>
      </c>
      <c r="F319" t="s">
        <v>19</v>
      </c>
      <c r="G319" t="s">
        <v>64</v>
      </c>
      <c r="H319">
        <v>38.340000000000003</v>
      </c>
      <c r="I319">
        <v>136.91</v>
      </c>
      <c r="J319">
        <v>3571.05</v>
      </c>
      <c r="K319" t="s">
        <v>34</v>
      </c>
      <c r="L319" t="s">
        <v>41</v>
      </c>
      <c r="M319">
        <v>82.52</v>
      </c>
      <c r="N319">
        <v>783.99</v>
      </c>
      <c r="O319" t="s">
        <v>70</v>
      </c>
      <c r="P319">
        <v>20.079999999999998</v>
      </c>
    </row>
    <row r="320" spans="1:16" x14ac:dyDescent="0.25">
      <c r="A320" t="s">
        <v>385</v>
      </c>
      <c r="B320" s="1">
        <v>42140</v>
      </c>
      <c r="C320">
        <v>2015</v>
      </c>
      <c r="D320" t="s">
        <v>25</v>
      </c>
      <c r="E320" t="s">
        <v>26</v>
      </c>
      <c r="F320" t="s">
        <v>19</v>
      </c>
      <c r="G320" t="s">
        <v>64</v>
      </c>
      <c r="H320">
        <v>77.59</v>
      </c>
      <c r="I320">
        <v>368.72</v>
      </c>
      <c r="J320">
        <v>4752.2</v>
      </c>
      <c r="K320" t="s">
        <v>34</v>
      </c>
      <c r="L320" t="s">
        <v>49</v>
      </c>
      <c r="M320">
        <v>172.64</v>
      </c>
      <c r="N320">
        <v>772.68</v>
      </c>
      <c r="O320" t="s">
        <v>70</v>
      </c>
      <c r="P320">
        <v>21.09</v>
      </c>
    </row>
    <row r="321" spans="1:16" x14ac:dyDescent="0.25">
      <c r="A321" t="s">
        <v>386</v>
      </c>
      <c r="B321" s="1">
        <v>41021</v>
      </c>
      <c r="C321">
        <v>2012</v>
      </c>
      <c r="D321" t="s">
        <v>59</v>
      </c>
      <c r="E321" t="s">
        <v>60</v>
      </c>
      <c r="F321" t="s">
        <v>19</v>
      </c>
      <c r="G321" t="s">
        <v>64</v>
      </c>
      <c r="H321">
        <v>78.84</v>
      </c>
      <c r="I321">
        <v>154.22999999999999</v>
      </c>
      <c r="J321">
        <v>1956.22</v>
      </c>
      <c r="K321" t="s">
        <v>28</v>
      </c>
      <c r="L321" t="s">
        <v>49</v>
      </c>
      <c r="M321">
        <v>72.989999999999995</v>
      </c>
      <c r="N321">
        <v>421.2</v>
      </c>
      <c r="O321" t="s">
        <v>42</v>
      </c>
      <c r="P321">
        <v>29.95</v>
      </c>
    </row>
    <row r="322" spans="1:16" x14ac:dyDescent="0.25">
      <c r="A322" t="s">
        <v>387</v>
      </c>
      <c r="B322" s="1">
        <v>44691</v>
      </c>
      <c r="C322">
        <v>2022</v>
      </c>
      <c r="D322" t="s">
        <v>31</v>
      </c>
      <c r="E322" t="s">
        <v>82</v>
      </c>
      <c r="F322" t="s">
        <v>19</v>
      </c>
      <c r="G322" t="s">
        <v>27</v>
      </c>
      <c r="H322">
        <v>48.01</v>
      </c>
      <c r="I322">
        <v>209.71</v>
      </c>
      <c r="J322">
        <v>4368.01</v>
      </c>
      <c r="K322" t="s">
        <v>21</v>
      </c>
      <c r="L322" t="s">
        <v>47</v>
      </c>
      <c r="M322">
        <v>78.680000000000007</v>
      </c>
      <c r="N322">
        <v>546.01</v>
      </c>
      <c r="O322" t="s">
        <v>42</v>
      </c>
      <c r="P322">
        <v>33.57</v>
      </c>
    </row>
    <row r="323" spans="1:16" x14ac:dyDescent="0.25">
      <c r="A323" t="s">
        <v>388</v>
      </c>
      <c r="B323" s="1">
        <v>44231</v>
      </c>
      <c r="C323">
        <v>2020</v>
      </c>
      <c r="D323" t="s">
        <v>103</v>
      </c>
      <c r="E323" t="s">
        <v>104</v>
      </c>
      <c r="F323" t="s">
        <v>38</v>
      </c>
      <c r="G323" t="s">
        <v>46</v>
      </c>
      <c r="H323">
        <v>91.68</v>
      </c>
      <c r="I323">
        <v>611.5</v>
      </c>
      <c r="J323">
        <v>6669.93</v>
      </c>
      <c r="K323" t="s">
        <v>28</v>
      </c>
      <c r="L323" t="s">
        <v>47</v>
      </c>
      <c r="M323">
        <v>114.15</v>
      </c>
      <c r="N323">
        <v>923.98</v>
      </c>
      <c r="O323" t="s">
        <v>23</v>
      </c>
      <c r="P323">
        <v>33.67</v>
      </c>
    </row>
    <row r="324" spans="1:16" x14ac:dyDescent="0.25">
      <c r="A324" t="s">
        <v>389</v>
      </c>
      <c r="B324" s="1">
        <v>43177</v>
      </c>
      <c r="C324">
        <v>2017</v>
      </c>
      <c r="D324" t="s">
        <v>44</v>
      </c>
      <c r="E324" t="s">
        <v>67</v>
      </c>
      <c r="F324" t="s">
        <v>38</v>
      </c>
      <c r="G324" t="s">
        <v>64</v>
      </c>
      <c r="H324">
        <v>30.35</v>
      </c>
      <c r="I324">
        <v>148.99</v>
      </c>
      <c r="J324">
        <v>4909.17</v>
      </c>
      <c r="K324" t="s">
        <v>34</v>
      </c>
      <c r="L324" t="s">
        <v>47</v>
      </c>
      <c r="M324">
        <v>178.47</v>
      </c>
      <c r="N324">
        <v>1148.21</v>
      </c>
      <c r="O324" t="s">
        <v>42</v>
      </c>
      <c r="P324">
        <v>34.57</v>
      </c>
    </row>
    <row r="325" spans="1:16" x14ac:dyDescent="0.25">
      <c r="A325" t="s">
        <v>390</v>
      </c>
      <c r="B325" s="1">
        <v>40713</v>
      </c>
      <c r="C325">
        <v>2011</v>
      </c>
      <c r="D325" t="s">
        <v>25</v>
      </c>
      <c r="E325" t="s">
        <v>69</v>
      </c>
      <c r="F325" t="s">
        <v>33</v>
      </c>
      <c r="G325" t="s">
        <v>39</v>
      </c>
      <c r="H325">
        <v>63.32</v>
      </c>
      <c r="I325">
        <v>144.31</v>
      </c>
      <c r="J325">
        <v>2279.0500000000002</v>
      </c>
      <c r="K325" t="s">
        <v>28</v>
      </c>
      <c r="L325" t="s">
        <v>41</v>
      </c>
      <c r="M325">
        <v>258.92</v>
      </c>
      <c r="N325">
        <v>405.58</v>
      </c>
      <c r="O325" t="s">
        <v>52</v>
      </c>
      <c r="P325">
        <v>29.7</v>
      </c>
    </row>
    <row r="326" spans="1:16" x14ac:dyDescent="0.25">
      <c r="A326" t="s">
        <v>391</v>
      </c>
      <c r="B326" s="1">
        <v>44605</v>
      </c>
      <c r="C326">
        <v>2021</v>
      </c>
      <c r="D326" t="s">
        <v>25</v>
      </c>
      <c r="E326" t="s">
        <v>87</v>
      </c>
      <c r="F326" t="s">
        <v>38</v>
      </c>
      <c r="G326" t="s">
        <v>64</v>
      </c>
      <c r="H326">
        <v>9.66</v>
      </c>
      <c r="I326">
        <v>12.81</v>
      </c>
      <c r="J326">
        <v>1325.61</v>
      </c>
      <c r="K326" t="s">
        <v>34</v>
      </c>
      <c r="L326" t="s">
        <v>29</v>
      </c>
      <c r="M326">
        <v>189.52</v>
      </c>
      <c r="N326">
        <v>774.96</v>
      </c>
      <c r="O326" t="s">
        <v>42</v>
      </c>
      <c r="P326">
        <v>33.659999999999997</v>
      </c>
    </row>
    <row r="327" spans="1:16" x14ac:dyDescent="0.25">
      <c r="A327" t="s">
        <v>392</v>
      </c>
      <c r="B327" s="1">
        <v>42693</v>
      </c>
      <c r="C327">
        <v>2016</v>
      </c>
      <c r="D327" t="s">
        <v>36</v>
      </c>
      <c r="E327" t="s">
        <v>77</v>
      </c>
      <c r="F327" t="s">
        <v>38</v>
      </c>
      <c r="G327" t="s">
        <v>20</v>
      </c>
      <c r="H327">
        <v>2.67</v>
      </c>
      <c r="I327">
        <v>13.46</v>
      </c>
      <c r="J327">
        <v>5039.79</v>
      </c>
      <c r="K327" t="s">
        <v>21</v>
      </c>
      <c r="L327" t="s">
        <v>49</v>
      </c>
      <c r="M327">
        <v>210.36</v>
      </c>
      <c r="N327">
        <v>818.35</v>
      </c>
      <c r="O327" t="s">
        <v>61</v>
      </c>
      <c r="P327">
        <v>20.68</v>
      </c>
    </row>
    <row r="328" spans="1:16" x14ac:dyDescent="0.25">
      <c r="A328" t="s">
        <v>393</v>
      </c>
      <c r="B328" s="1">
        <v>41764</v>
      </c>
      <c r="C328">
        <v>2014</v>
      </c>
      <c r="D328" t="s">
        <v>59</v>
      </c>
      <c r="E328" t="s">
        <v>60</v>
      </c>
      <c r="F328" t="s">
        <v>19</v>
      </c>
      <c r="G328" t="s">
        <v>20</v>
      </c>
      <c r="H328">
        <v>61.05</v>
      </c>
      <c r="I328">
        <v>164.17</v>
      </c>
      <c r="J328">
        <v>2689.1</v>
      </c>
      <c r="K328" t="s">
        <v>28</v>
      </c>
      <c r="L328" t="s">
        <v>41</v>
      </c>
      <c r="M328">
        <v>145.35</v>
      </c>
      <c r="N328">
        <v>1022.12</v>
      </c>
      <c r="O328" t="s">
        <v>23</v>
      </c>
      <c r="P328">
        <v>27.11</v>
      </c>
    </row>
    <row r="329" spans="1:16" x14ac:dyDescent="0.25">
      <c r="A329" t="s">
        <v>394</v>
      </c>
      <c r="B329" s="1">
        <v>42463</v>
      </c>
      <c r="C329">
        <v>2016</v>
      </c>
      <c r="D329" t="s">
        <v>103</v>
      </c>
      <c r="E329" t="s">
        <v>228</v>
      </c>
      <c r="F329" t="s">
        <v>19</v>
      </c>
      <c r="G329" t="s">
        <v>20</v>
      </c>
      <c r="H329">
        <v>96.05</v>
      </c>
      <c r="I329">
        <v>179.08</v>
      </c>
      <c r="J329">
        <v>1864.45</v>
      </c>
      <c r="K329" t="s">
        <v>34</v>
      </c>
      <c r="L329" t="s">
        <v>22</v>
      </c>
      <c r="M329">
        <v>289.35000000000002</v>
      </c>
      <c r="N329">
        <v>211.15</v>
      </c>
      <c r="O329" t="s">
        <v>61</v>
      </c>
      <c r="P329">
        <v>22.12</v>
      </c>
    </row>
    <row r="330" spans="1:16" x14ac:dyDescent="0.25">
      <c r="A330" t="s">
        <v>395</v>
      </c>
      <c r="B330" s="1">
        <v>42472</v>
      </c>
      <c r="C330">
        <v>2016</v>
      </c>
      <c r="D330" t="s">
        <v>59</v>
      </c>
      <c r="E330" t="s">
        <v>93</v>
      </c>
      <c r="F330" t="s">
        <v>19</v>
      </c>
      <c r="G330" t="s">
        <v>27</v>
      </c>
      <c r="H330">
        <v>94.75</v>
      </c>
      <c r="I330">
        <v>267.97000000000003</v>
      </c>
      <c r="J330">
        <v>2828.15</v>
      </c>
      <c r="K330" t="s">
        <v>34</v>
      </c>
      <c r="L330" t="s">
        <v>41</v>
      </c>
      <c r="M330">
        <v>102.93</v>
      </c>
      <c r="N330">
        <v>1105.6300000000001</v>
      </c>
      <c r="O330" t="s">
        <v>61</v>
      </c>
      <c r="P330">
        <v>22.14</v>
      </c>
    </row>
    <row r="331" spans="1:16" x14ac:dyDescent="0.25">
      <c r="A331" t="s">
        <v>396</v>
      </c>
      <c r="B331" s="1">
        <v>41566</v>
      </c>
      <c r="C331">
        <v>2013</v>
      </c>
      <c r="D331" t="s">
        <v>59</v>
      </c>
      <c r="E331" t="s">
        <v>63</v>
      </c>
      <c r="F331" t="s">
        <v>33</v>
      </c>
      <c r="G331" t="s">
        <v>56</v>
      </c>
      <c r="H331">
        <v>67.430000000000007</v>
      </c>
      <c r="I331">
        <v>296.95</v>
      </c>
      <c r="J331">
        <v>4403.76</v>
      </c>
      <c r="K331" t="s">
        <v>21</v>
      </c>
      <c r="L331" t="s">
        <v>22</v>
      </c>
      <c r="M331">
        <v>262.85000000000002</v>
      </c>
      <c r="N331">
        <v>1132.3699999999999</v>
      </c>
      <c r="O331" t="s">
        <v>61</v>
      </c>
      <c r="P331">
        <v>26.92</v>
      </c>
    </row>
    <row r="332" spans="1:16" x14ac:dyDescent="0.25">
      <c r="A332" t="s">
        <v>397</v>
      </c>
      <c r="B332" s="1">
        <v>40865</v>
      </c>
      <c r="C332">
        <v>2011</v>
      </c>
      <c r="D332" t="s">
        <v>31</v>
      </c>
      <c r="E332" t="s">
        <v>117</v>
      </c>
      <c r="F332" t="s">
        <v>38</v>
      </c>
      <c r="G332" t="s">
        <v>64</v>
      </c>
      <c r="H332">
        <v>20.54</v>
      </c>
      <c r="I332">
        <v>92.09</v>
      </c>
      <c r="J332">
        <v>4483.57</v>
      </c>
      <c r="K332" t="s">
        <v>34</v>
      </c>
      <c r="L332" t="s">
        <v>41</v>
      </c>
      <c r="M332">
        <v>139.28</v>
      </c>
      <c r="N332">
        <v>871.3</v>
      </c>
      <c r="O332" t="s">
        <v>42</v>
      </c>
      <c r="P332">
        <v>21.5</v>
      </c>
    </row>
    <row r="333" spans="1:16" x14ac:dyDescent="0.25">
      <c r="A333" t="s">
        <v>398</v>
      </c>
      <c r="B333" s="1">
        <v>43083</v>
      </c>
      <c r="C333">
        <v>2017</v>
      </c>
      <c r="D333" t="s">
        <v>31</v>
      </c>
      <c r="E333" t="s">
        <v>32</v>
      </c>
      <c r="F333" t="s">
        <v>38</v>
      </c>
      <c r="G333" t="s">
        <v>27</v>
      </c>
      <c r="H333">
        <v>66.28</v>
      </c>
      <c r="I333">
        <v>342.05</v>
      </c>
      <c r="J333">
        <v>5160.75</v>
      </c>
      <c r="K333" t="s">
        <v>40</v>
      </c>
      <c r="L333" t="s">
        <v>22</v>
      </c>
      <c r="M333">
        <v>191.39</v>
      </c>
      <c r="N333">
        <v>564.49</v>
      </c>
      <c r="O333" t="s">
        <v>70</v>
      </c>
      <c r="P333">
        <v>34.380000000000003</v>
      </c>
    </row>
    <row r="334" spans="1:16" x14ac:dyDescent="0.25">
      <c r="A334" t="s">
        <v>399</v>
      </c>
      <c r="B334" s="1">
        <v>44804</v>
      </c>
      <c r="C334">
        <v>2022</v>
      </c>
      <c r="D334" t="s">
        <v>31</v>
      </c>
      <c r="E334" t="s">
        <v>82</v>
      </c>
      <c r="F334" t="s">
        <v>33</v>
      </c>
      <c r="G334" t="s">
        <v>39</v>
      </c>
      <c r="H334">
        <v>74.239999999999995</v>
      </c>
      <c r="I334">
        <v>268.51</v>
      </c>
      <c r="J334">
        <v>3616.74</v>
      </c>
      <c r="K334" t="s">
        <v>34</v>
      </c>
      <c r="L334" t="s">
        <v>49</v>
      </c>
      <c r="M334">
        <v>83.58</v>
      </c>
      <c r="N334">
        <v>932.97</v>
      </c>
      <c r="O334" t="s">
        <v>52</v>
      </c>
      <c r="P334">
        <v>26.94</v>
      </c>
    </row>
    <row r="335" spans="1:16" x14ac:dyDescent="0.25">
      <c r="A335" t="s">
        <v>400</v>
      </c>
      <c r="B335" s="1">
        <v>40699</v>
      </c>
      <c r="C335">
        <v>2011</v>
      </c>
      <c r="D335" t="s">
        <v>36</v>
      </c>
      <c r="E335" t="s">
        <v>77</v>
      </c>
      <c r="F335" t="s">
        <v>33</v>
      </c>
      <c r="G335" t="s">
        <v>39</v>
      </c>
      <c r="H335">
        <v>61.06</v>
      </c>
      <c r="I335">
        <v>369.46</v>
      </c>
      <c r="J335">
        <v>6050.76</v>
      </c>
      <c r="K335" t="s">
        <v>40</v>
      </c>
      <c r="L335" t="s">
        <v>47</v>
      </c>
      <c r="M335">
        <v>272.82</v>
      </c>
      <c r="N335">
        <v>396.43</v>
      </c>
      <c r="O335" t="s">
        <v>23</v>
      </c>
      <c r="P335">
        <v>30.91</v>
      </c>
    </row>
    <row r="336" spans="1:16" x14ac:dyDescent="0.25">
      <c r="A336" t="s">
        <v>401</v>
      </c>
      <c r="B336" s="1">
        <v>43605</v>
      </c>
      <c r="C336">
        <v>2019</v>
      </c>
      <c r="D336" t="s">
        <v>17</v>
      </c>
      <c r="E336" t="s">
        <v>18</v>
      </c>
      <c r="F336" t="s">
        <v>19</v>
      </c>
      <c r="G336" t="s">
        <v>46</v>
      </c>
      <c r="H336">
        <v>77.150000000000006</v>
      </c>
      <c r="I336">
        <v>175.64</v>
      </c>
      <c r="J336">
        <v>2276.56</v>
      </c>
      <c r="K336" t="s">
        <v>21</v>
      </c>
      <c r="L336" t="s">
        <v>41</v>
      </c>
      <c r="M336">
        <v>187.9</v>
      </c>
      <c r="N336">
        <v>743.47</v>
      </c>
      <c r="O336" t="s">
        <v>61</v>
      </c>
      <c r="P336">
        <v>27.08</v>
      </c>
    </row>
    <row r="337" spans="1:16" x14ac:dyDescent="0.25">
      <c r="A337" t="s">
        <v>402</v>
      </c>
      <c r="B337" s="1">
        <v>41416</v>
      </c>
      <c r="C337">
        <v>2013</v>
      </c>
      <c r="D337" t="s">
        <v>31</v>
      </c>
      <c r="E337" t="s">
        <v>32</v>
      </c>
      <c r="F337" t="s">
        <v>19</v>
      </c>
      <c r="G337" t="s">
        <v>39</v>
      </c>
      <c r="H337">
        <v>85.86</v>
      </c>
      <c r="I337">
        <v>154.83000000000001</v>
      </c>
      <c r="J337">
        <v>1803.29</v>
      </c>
      <c r="K337" t="s">
        <v>21</v>
      </c>
      <c r="L337" t="s">
        <v>47</v>
      </c>
      <c r="M337">
        <v>149.19999999999999</v>
      </c>
      <c r="N337">
        <v>702.17</v>
      </c>
      <c r="O337" t="s">
        <v>42</v>
      </c>
      <c r="P337">
        <v>32.72</v>
      </c>
    </row>
    <row r="338" spans="1:16" x14ac:dyDescent="0.25">
      <c r="A338" t="s">
        <v>403</v>
      </c>
      <c r="B338" s="1">
        <v>44700</v>
      </c>
      <c r="C338">
        <v>2022</v>
      </c>
      <c r="D338" t="s">
        <v>17</v>
      </c>
      <c r="E338" t="s">
        <v>18</v>
      </c>
      <c r="F338" t="s">
        <v>19</v>
      </c>
      <c r="G338" t="s">
        <v>56</v>
      </c>
      <c r="H338">
        <v>45.18</v>
      </c>
      <c r="I338">
        <v>93.74</v>
      </c>
      <c r="J338">
        <v>2074.87</v>
      </c>
      <c r="K338" t="s">
        <v>40</v>
      </c>
      <c r="L338" t="s">
        <v>29</v>
      </c>
      <c r="M338">
        <v>233.98</v>
      </c>
      <c r="N338">
        <v>683.5</v>
      </c>
      <c r="O338" t="s">
        <v>70</v>
      </c>
      <c r="P338">
        <v>20.61</v>
      </c>
    </row>
    <row r="339" spans="1:16" x14ac:dyDescent="0.25">
      <c r="A339" t="s">
        <v>404</v>
      </c>
      <c r="B339" s="1">
        <v>42026</v>
      </c>
      <c r="C339">
        <v>2014</v>
      </c>
      <c r="D339" t="s">
        <v>103</v>
      </c>
      <c r="E339" t="s">
        <v>104</v>
      </c>
      <c r="F339" t="s">
        <v>38</v>
      </c>
      <c r="G339" t="s">
        <v>56</v>
      </c>
      <c r="H339">
        <v>5.24</v>
      </c>
      <c r="I339">
        <v>11.74</v>
      </c>
      <c r="J339">
        <v>2240.64</v>
      </c>
      <c r="K339" t="s">
        <v>34</v>
      </c>
      <c r="L339" t="s">
        <v>22</v>
      </c>
      <c r="M339">
        <v>147.02000000000001</v>
      </c>
      <c r="N339">
        <v>1117.9000000000001</v>
      </c>
      <c r="O339" t="s">
        <v>23</v>
      </c>
      <c r="P339">
        <v>20.6</v>
      </c>
    </row>
    <row r="340" spans="1:16" x14ac:dyDescent="0.25">
      <c r="A340" t="s">
        <v>405</v>
      </c>
      <c r="B340" s="1">
        <v>44155</v>
      </c>
      <c r="C340">
        <v>2020</v>
      </c>
      <c r="D340" t="s">
        <v>17</v>
      </c>
      <c r="E340" t="s">
        <v>54</v>
      </c>
      <c r="F340" t="s">
        <v>38</v>
      </c>
      <c r="G340" t="s">
        <v>39</v>
      </c>
      <c r="H340">
        <v>27.07</v>
      </c>
      <c r="I340">
        <v>115.48</v>
      </c>
      <c r="J340">
        <v>4266.1000000000004</v>
      </c>
      <c r="K340" t="s">
        <v>40</v>
      </c>
      <c r="L340" t="s">
        <v>47</v>
      </c>
      <c r="M340">
        <v>144.16</v>
      </c>
      <c r="N340">
        <v>578.52</v>
      </c>
      <c r="O340" t="s">
        <v>61</v>
      </c>
      <c r="P340">
        <v>29.8</v>
      </c>
    </row>
    <row r="341" spans="1:16" x14ac:dyDescent="0.25">
      <c r="A341" t="s">
        <v>406</v>
      </c>
      <c r="B341" s="1">
        <v>41373</v>
      </c>
      <c r="C341">
        <v>2013</v>
      </c>
      <c r="D341" t="s">
        <v>31</v>
      </c>
      <c r="E341" t="s">
        <v>32</v>
      </c>
      <c r="F341" t="s">
        <v>19</v>
      </c>
      <c r="G341" t="s">
        <v>46</v>
      </c>
      <c r="H341">
        <v>35.94</v>
      </c>
      <c r="I341">
        <v>223.06</v>
      </c>
      <c r="J341">
        <v>6206.32</v>
      </c>
      <c r="K341" t="s">
        <v>28</v>
      </c>
      <c r="L341" t="s">
        <v>29</v>
      </c>
      <c r="M341">
        <v>248.16</v>
      </c>
      <c r="N341">
        <v>1087.17</v>
      </c>
      <c r="O341" t="s">
        <v>23</v>
      </c>
      <c r="P341">
        <v>27.53</v>
      </c>
    </row>
    <row r="342" spans="1:16" x14ac:dyDescent="0.25">
      <c r="A342" t="s">
        <v>407</v>
      </c>
      <c r="B342" s="1">
        <v>40660</v>
      </c>
      <c r="C342">
        <v>2011</v>
      </c>
      <c r="D342" t="s">
        <v>103</v>
      </c>
      <c r="E342" t="s">
        <v>104</v>
      </c>
      <c r="F342" t="s">
        <v>19</v>
      </c>
      <c r="G342" t="s">
        <v>39</v>
      </c>
      <c r="H342">
        <v>28.8</v>
      </c>
      <c r="I342">
        <v>54.76</v>
      </c>
      <c r="J342">
        <v>1901.44</v>
      </c>
      <c r="K342" t="s">
        <v>40</v>
      </c>
      <c r="L342" t="s">
        <v>49</v>
      </c>
      <c r="M342">
        <v>140.56</v>
      </c>
      <c r="N342">
        <v>917.3</v>
      </c>
      <c r="O342" t="s">
        <v>23</v>
      </c>
      <c r="P342">
        <v>29.92</v>
      </c>
    </row>
    <row r="343" spans="1:16" x14ac:dyDescent="0.25">
      <c r="A343" t="s">
        <v>408</v>
      </c>
      <c r="B343" s="1">
        <v>42834</v>
      </c>
      <c r="C343">
        <v>2017</v>
      </c>
      <c r="D343" t="s">
        <v>17</v>
      </c>
      <c r="E343" t="s">
        <v>18</v>
      </c>
      <c r="F343" t="s">
        <v>19</v>
      </c>
      <c r="G343" t="s">
        <v>46</v>
      </c>
      <c r="H343">
        <v>48.42</v>
      </c>
      <c r="I343">
        <v>220.06</v>
      </c>
      <c r="J343">
        <v>4544.75</v>
      </c>
      <c r="K343" t="s">
        <v>28</v>
      </c>
      <c r="L343" t="s">
        <v>47</v>
      </c>
      <c r="M343">
        <v>55.61</v>
      </c>
      <c r="N343">
        <v>243.14</v>
      </c>
      <c r="O343" t="s">
        <v>61</v>
      </c>
      <c r="P343">
        <v>28.89</v>
      </c>
    </row>
    <row r="344" spans="1:16" x14ac:dyDescent="0.25">
      <c r="A344" t="s">
        <v>409</v>
      </c>
      <c r="B344" s="1">
        <v>41133</v>
      </c>
      <c r="C344">
        <v>2012</v>
      </c>
      <c r="D344" t="s">
        <v>25</v>
      </c>
      <c r="E344" t="s">
        <v>69</v>
      </c>
      <c r="F344" t="s">
        <v>33</v>
      </c>
      <c r="G344" t="s">
        <v>56</v>
      </c>
      <c r="H344">
        <v>26.57</v>
      </c>
      <c r="I344">
        <v>55.27</v>
      </c>
      <c r="J344">
        <v>2080.23</v>
      </c>
      <c r="K344" t="s">
        <v>28</v>
      </c>
      <c r="L344" t="s">
        <v>22</v>
      </c>
      <c r="M344">
        <v>199.84</v>
      </c>
      <c r="N344">
        <v>763.6</v>
      </c>
      <c r="O344" t="s">
        <v>23</v>
      </c>
      <c r="P344">
        <v>33.18</v>
      </c>
    </row>
    <row r="345" spans="1:16" x14ac:dyDescent="0.25">
      <c r="A345" t="s">
        <v>410</v>
      </c>
      <c r="B345" s="1">
        <v>43900</v>
      </c>
      <c r="C345">
        <v>2019</v>
      </c>
      <c r="D345" t="s">
        <v>103</v>
      </c>
      <c r="E345" t="s">
        <v>107</v>
      </c>
      <c r="F345" t="s">
        <v>38</v>
      </c>
      <c r="G345" t="s">
        <v>46</v>
      </c>
      <c r="H345">
        <v>17.89</v>
      </c>
      <c r="I345">
        <v>107.02</v>
      </c>
      <c r="J345">
        <v>5982.18</v>
      </c>
      <c r="K345" t="s">
        <v>40</v>
      </c>
      <c r="L345" t="s">
        <v>49</v>
      </c>
      <c r="M345">
        <v>248.65</v>
      </c>
      <c r="N345">
        <v>1020.45</v>
      </c>
      <c r="O345" t="s">
        <v>42</v>
      </c>
      <c r="P345">
        <v>29.35</v>
      </c>
    </row>
    <row r="346" spans="1:16" x14ac:dyDescent="0.25">
      <c r="A346" t="s">
        <v>411</v>
      </c>
      <c r="B346" s="1">
        <v>44265</v>
      </c>
      <c r="C346">
        <v>2020</v>
      </c>
      <c r="D346" t="s">
        <v>103</v>
      </c>
      <c r="E346" t="s">
        <v>228</v>
      </c>
      <c r="F346" t="s">
        <v>38</v>
      </c>
      <c r="G346" t="s">
        <v>46</v>
      </c>
      <c r="H346">
        <v>60.06</v>
      </c>
      <c r="I346">
        <v>84.87</v>
      </c>
      <c r="J346">
        <v>1413.06</v>
      </c>
      <c r="K346" t="s">
        <v>28</v>
      </c>
      <c r="L346" t="s">
        <v>29</v>
      </c>
      <c r="M346">
        <v>146.37</v>
      </c>
      <c r="N346">
        <v>308.57</v>
      </c>
      <c r="O346" t="s">
        <v>42</v>
      </c>
      <c r="P346">
        <v>27.84</v>
      </c>
    </row>
    <row r="347" spans="1:16" x14ac:dyDescent="0.25">
      <c r="A347" t="s">
        <v>412</v>
      </c>
      <c r="B347" s="1">
        <v>43650</v>
      </c>
      <c r="C347">
        <v>2019</v>
      </c>
      <c r="D347" t="s">
        <v>44</v>
      </c>
      <c r="E347" t="s">
        <v>45</v>
      </c>
      <c r="F347" t="s">
        <v>33</v>
      </c>
      <c r="G347" t="s">
        <v>56</v>
      </c>
      <c r="H347">
        <v>48.11</v>
      </c>
      <c r="I347">
        <v>225.56</v>
      </c>
      <c r="J347">
        <v>4688.49</v>
      </c>
      <c r="K347" t="s">
        <v>21</v>
      </c>
      <c r="L347" t="s">
        <v>47</v>
      </c>
      <c r="M347">
        <v>269.44</v>
      </c>
      <c r="N347">
        <v>731.43</v>
      </c>
      <c r="O347" t="s">
        <v>23</v>
      </c>
      <c r="P347">
        <v>21.4</v>
      </c>
    </row>
    <row r="348" spans="1:16" x14ac:dyDescent="0.25">
      <c r="A348" t="s">
        <v>413</v>
      </c>
      <c r="B348" s="1">
        <v>44676</v>
      </c>
      <c r="C348">
        <v>2022</v>
      </c>
      <c r="D348" t="s">
        <v>59</v>
      </c>
      <c r="E348" t="s">
        <v>60</v>
      </c>
      <c r="F348" t="s">
        <v>19</v>
      </c>
      <c r="G348" t="s">
        <v>39</v>
      </c>
      <c r="H348">
        <v>43.72</v>
      </c>
      <c r="I348">
        <v>154.07</v>
      </c>
      <c r="J348">
        <v>3524.1</v>
      </c>
      <c r="K348" t="s">
        <v>21</v>
      </c>
      <c r="L348" t="s">
        <v>49</v>
      </c>
      <c r="M348">
        <v>224.41</v>
      </c>
      <c r="N348">
        <v>628.96</v>
      </c>
      <c r="O348" t="s">
        <v>52</v>
      </c>
      <c r="P348">
        <v>31.84</v>
      </c>
    </row>
    <row r="349" spans="1:16" x14ac:dyDescent="0.25">
      <c r="A349" t="s">
        <v>414</v>
      </c>
      <c r="B349" s="1">
        <v>44708</v>
      </c>
      <c r="C349">
        <v>2022</v>
      </c>
      <c r="D349" t="s">
        <v>59</v>
      </c>
      <c r="E349" t="s">
        <v>93</v>
      </c>
      <c r="F349" t="s">
        <v>19</v>
      </c>
      <c r="G349" t="s">
        <v>27</v>
      </c>
      <c r="H349">
        <v>10.67</v>
      </c>
      <c r="I349">
        <v>19.239999999999998</v>
      </c>
      <c r="J349">
        <v>1803.3</v>
      </c>
      <c r="K349" t="s">
        <v>28</v>
      </c>
      <c r="L349" t="s">
        <v>47</v>
      </c>
      <c r="M349">
        <v>241.46</v>
      </c>
      <c r="N349">
        <v>1110.0899999999999</v>
      </c>
      <c r="O349" t="s">
        <v>23</v>
      </c>
      <c r="P349">
        <v>24.25</v>
      </c>
    </row>
    <row r="350" spans="1:16" x14ac:dyDescent="0.25">
      <c r="A350" t="s">
        <v>415</v>
      </c>
      <c r="B350" s="1">
        <v>41506</v>
      </c>
      <c r="C350">
        <v>2013</v>
      </c>
      <c r="D350" t="s">
        <v>36</v>
      </c>
      <c r="E350" t="s">
        <v>51</v>
      </c>
      <c r="F350" t="s">
        <v>33</v>
      </c>
      <c r="G350" t="s">
        <v>39</v>
      </c>
      <c r="H350">
        <v>74.62</v>
      </c>
      <c r="I350">
        <v>77.8</v>
      </c>
      <c r="J350">
        <v>1042.68</v>
      </c>
      <c r="K350" t="s">
        <v>21</v>
      </c>
      <c r="L350" t="s">
        <v>29</v>
      </c>
      <c r="M350">
        <v>179.94</v>
      </c>
      <c r="N350">
        <v>575.03</v>
      </c>
      <c r="O350" t="s">
        <v>42</v>
      </c>
      <c r="P350">
        <v>30.32</v>
      </c>
    </row>
    <row r="351" spans="1:16" x14ac:dyDescent="0.25">
      <c r="A351" t="s">
        <v>416</v>
      </c>
      <c r="B351" s="1">
        <v>41319</v>
      </c>
      <c r="C351">
        <v>2012</v>
      </c>
      <c r="D351" t="s">
        <v>31</v>
      </c>
      <c r="E351" t="s">
        <v>82</v>
      </c>
      <c r="F351" t="s">
        <v>38</v>
      </c>
      <c r="G351" t="s">
        <v>39</v>
      </c>
      <c r="H351">
        <v>58.95</v>
      </c>
      <c r="I351">
        <v>151.37</v>
      </c>
      <c r="J351">
        <v>2567.8200000000002</v>
      </c>
      <c r="K351" t="s">
        <v>28</v>
      </c>
      <c r="L351" t="s">
        <v>47</v>
      </c>
      <c r="M351">
        <v>191.17</v>
      </c>
      <c r="N351">
        <v>811.88</v>
      </c>
      <c r="O351" t="s">
        <v>52</v>
      </c>
      <c r="P351">
        <v>31.32</v>
      </c>
    </row>
    <row r="352" spans="1:16" x14ac:dyDescent="0.25">
      <c r="A352" t="s">
        <v>417</v>
      </c>
      <c r="B352" s="1">
        <v>42917</v>
      </c>
      <c r="C352">
        <v>2017</v>
      </c>
      <c r="D352" t="s">
        <v>44</v>
      </c>
      <c r="E352" t="s">
        <v>67</v>
      </c>
      <c r="F352" t="s">
        <v>33</v>
      </c>
      <c r="G352" t="s">
        <v>20</v>
      </c>
      <c r="H352">
        <v>56.35</v>
      </c>
      <c r="I352">
        <v>219.91</v>
      </c>
      <c r="J352">
        <v>3902.56</v>
      </c>
      <c r="K352" t="s">
        <v>34</v>
      </c>
      <c r="L352" t="s">
        <v>41</v>
      </c>
      <c r="M352">
        <v>194.41</v>
      </c>
      <c r="N352">
        <v>974.19</v>
      </c>
      <c r="O352" t="s">
        <v>52</v>
      </c>
      <c r="P352">
        <v>31.04</v>
      </c>
    </row>
    <row r="353" spans="1:16" x14ac:dyDescent="0.25">
      <c r="A353" t="s">
        <v>418</v>
      </c>
      <c r="B353" s="1">
        <v>41098</v>
      </c>
      <c r="C353">
        <v>2012</v>
      </c>
      <c r="D353" t="s">
        <v>36</v>
      </c>
      <c r="E353" t="s">
        <v>77</v>
      </c>
      <c r="F353" t="s">
        <v>33</v>
      </c>
      <c r="G353" t="s">
        <v>56</v>
      </c>
      <c r="H353">
        <v>51.33</v>
      </c>
      <c r="I353">
        <v>293.43</v>
      </c>
      <c r="J353">
        <v>5716.49</v>
      </c>
      <c r="K353" t="s">
        <v>21</v>
      </c>
      <c r="L353" t="s">
        <v>29</v>
      </c>
      <c r="M353">
        <v>90.18</v>
      </c>
      <c r="N353">
        <v>1164.57</v>
      </c>
      <c r="O353" t="s">
        <v>23</v>
      </c>
      <c r="P353">
        <v>32.07</v>
      </c>
    </row>
    <row r="354" spans="1:16" x14ac:dyDescent="0.25">
      <c r="A354" t="s">
        <v>419</v>
      </c>
      <c r="B354" s="1">
        <v>40828</v>
      </c>
      <c r="C354">
        <v>2011</v>
      </c>
      <c r="D354" t="s">
        <v>59</v>
      </c>
      <c r="E354" t="s">
        <v>63</v>
      </c>
      <c r="F354" t="s">
        <v>33</v>
      </c>
      <c r="G354" t="s">
        <v>20</v>
      </c>
      <c r="H354">
        <v>22.96</v>
      </c>
      <c r="I354">
        <v>33.99</v>
      </c>
      <c r="J354">
        <v>1480.24</v>
      </c>
      <c r="K354" t="s">
        <v>21</v>
      </c>
      <c r="L354" t="s">
        <v>49</v>
      </c>
      <c r="M354">
        <v>231.12</v>
      </c>
      <c r="N354">
        <v>1130.68</v>
      </c>
      <c r="O354" t="s">
        <v>52</v>
      </c>
      <c r="P354">
        <v>29.21</v>
      </c>
    </row>
    <row r="355" spans="1:16" x14ac:dyDescent="0.25">
      <c r="A355" t="s">
        <v>420</v>
      </c>
      <c r="B355" s="1">
        <v>40389</v>
      </c>
      <c r="C355">
        <v>2010</v>
      </c>
      <c r="D355" t="s">
        <v>17</v>
      </c>
      <c r="E355" t="s">
        <v>54</v>
      </c>
      <c r="F355" t="s">
        <v>33</v>
      </c>
      <c r="G355" t="s">
        <v>39</v>
      </c>
      <c r="H355">
        <v>49.94</v>
      </c>
      <c r="I355">
        <v>53.15</v>
      </c>
      <c r="J355">
        <v>1064.26</v>
      </c>
      <c r="K355" t="s">
        <v>34</v>
      </c>
      <c r="L355" t="s">
        <v>47</v>
      </c>
      <c r="M355">
        <v>98.69</v>
      </c>
      <c r="N355">
        <v>983.96</v>
      </c>
      <c r="O355" t="s">
        <v>61</v>
      </c>
      <c r="P355">
        <v>27.74</v>
      </c>
    </row>
    <row r="356" spans="1:16" x14ac:dyDescent="0.25">
      <c r="A356" t="s">
        <v>421</v>
      </c>
      <c r="B356" s="1">
        <v>40586</v>
      </c>
      <c r="C356">
        <v>2010</v>
      </c>
      <c r="D356" t="s">
        <v>103</v>
      </c>
      <c r="E356" t="s">
        <v>228</v>
      </c>
      <c r="F356" t="s">
        <v>38</v>
      </c>
      <c r="G356" t="s">
        <v>56</v>
      </c>
      <c r="H356">
        <v>65.849999999999994</v>
      </c>
      <c r="I356">
        <v>451.33</v>
      </c>
      <c r="J356">
        <v>6853.88</v>
      </c>
      <c r="K356" t="s">
        <v>21</v>
      </c>
      <c r="L356" t="s">
        <v>47</v>
      </c>
      <c r="M356">
        <v>299.2</v>
      </c>
      <c r="N356">
        <v>979.67</v>
      </c>
      <c r="O356" t="s">
        <v>70</v>
      </c>
      <c r="P356">
        <v>30.04</v>
      </c>
    </row>
    <row r="357" spans="1:16" x14ac:dyDescent="0.25">
      <c r="A357" t="s">
        <v>422</v>
      </c>
      <c r="B357" s="1">
        <v>40321</v>
      </c>
      <c r="C357">
        <v>2010</v>
      </c>
      <c r="D357" t="s">
        <v>103</v>
      </c>
      <c r="E357" t="s">
        <v>228</v>
      </c>
      <c r="F357" t="s">
        <v>19</v>
      </c>
      <c r="G357" t="s">
        <v>39</v>
      </c>
      <c r="H357">
        <v>7.79</v>
      </c>
      <c r="I357">
        <v>12</v>
      </c>
      <c r="J357">
        <v>1541</v>
      </c>
      <c r="K357" t="s">
        <v>34</v>
      </c>
      <c r="L357" t="s">
        <v>49</v>
      </c>
      <c r="M357">
        <v>231.53</v>
      </c>
      <c r="N357">
        <v>759.11</v>
      </c>
      <c r="O357" t="s">
        <v>61</v>
      </c>
      <c r="P357">
        <v>25.22</v>
      </c>
    </row>
    <row r="358" spans="1:16" x14ac:dyDescent="0.25">
      <c r="A358" t="s">
        <v>423</v>
      </c>
      <c r="B358" s="1">
        <v>41608</v>
      </c>
      <c r="C358">
        <v>2013</v>
      </c>
      <c r="D358" t="s">
        <v>103</v>
      </c>
      <c r="E358" t="s">
        <v>228</v>
      </c>
      <c r="F358" t="s">
        <v>38</v>
      </c>
      <c r="G358" t="s">
        <v>46</v>
      </c>
      <c r="H358">
        <v>57.92</v>
      </c>
      <c r="I358">
        <v>148.66</v>
      </c>
      <c r="J358">
        <v>2566.65</v>
      </c>
      <c r="K358" t="s">
        <v>28</v>
      </c>
      <c r="L358" t="s">
        <v>47</v>
      </c>
      <c r="M358">
        <v>176.56</v>
      </c>
      <c r="N358">
        <v>758.63</v>
      </c>
      <c r="O358" t="s">
        <v>61</v>
      </c>
      <c r="P358">
        <v>24.41</v>
      </c>
    </row>
    <row r="359" spans="1:16" x14ac:dyDescent="0.25">
      <c r="A359" t="s">
        <v>424</v>
      </c>
      <c r="B359" s="1">
        <v>44709</v>
      </c>
      <c r="C359">
        <v>2022</v>
      </c>
      <c r="D359" t="s">
        <v>31</v>
      </c>
      <c r="E359" t="s">
        <v>117</v>
      </c>
      <c r="F359" t="s">
        <v>19</v>
      </c>
      <c r="G359" t="s">
        <v>20</v>
      </c>
      <c r="H359">
        <v>69.72</v>
      </c>
      <c r="I359">
        <v>473.84</v>
      </c>
      <c r="J359">
        <v>6796.33</v>
      </c>
      <c r="K359" t="s">
        <v>28</v>
      </c>
      <c r="L359" t="s">
        <v>47</v>
      </c>
      <c r="M359">
        <v>242.49</v>
      </c>
      <c r="N359">
        <v>957.47</v>
      </c>
      <c r="O359" t="s">
        <v>52</v>
      </c>
      <c r="P359">
        <v>30.22</v>
      </c>
    </row>
    <row r="360" spans="1:16" x14ac:dyDescent="0.25">
      <c r="A360" t="s">
        <v>425</v>
      </c>
      <c r="B360" s="1">
        <v>42977</v>
      </c>
      <c r="C360">
        <v>2017</v>
      </c>
      <c r="D360" t="s">
        <v>44</v>
      </c>
      <c r="E360" t="s">
        <v>45</v>
      </c>
      <c r="F360" t="s">
        <v>33</v>
      </c>
      <c r="G360" t="s">
        <v>20</v>
      </c>
      <c r="H360">
        <v>7.69</v>
      </c>
      <c r="I360">
        <v>36.93</v>
      </c>
      <c r="J360">
        <v>4801.97</v>
      </c>
      <c r="K360" t="s">
        <v>40</v>
      </c>
      <c r="L360" t="s">
        <v>47</v>
      </c>
      <c r="M360">
        <v>219.23</v>
      </c>
      <c r="N360">
        <v>429.93</v>
      </c>
      <c r="O360" t="s">
        <v>70</v>
      </c>
      <c r="P360">
        <v>26.19</v>
      </c>
    </row>
    <row r="361" spans="1:16" x14ac:dyDescent="0.25">
      <c r="A361" t="s">
        <v>426</v>
      </c>
      <c r="B361" s="1">
        <v>44556</v>
      </c>
      <c r="C361">
        <v>2021</v>
      </c>
      <c r="D361" t="s">
        <v>59</v>
      </c>
      <c r="E361" t="s">
        <v>60</v>
      </c>
      <c r="F361" t="s">
        <v>38</v>
      </c>
      <c r="G361" t="s">
        <v>56</v>
      </c>
      <c r="H361">
        <v>29.44</v>
      </c>
      <c r="I361">
        <v>99.91</v>
      </c>
      <c r="J361">
        <v>3393.58</v>
      </c>
      <c r="K361" t="s">
        <v>34</v>
      </c>
      <c r="L361" t="s">
        <v>47</v>
      </c>
      <c r="M361">
        <v>69.010000000000005</v>
      </c>
      <c r="N361">
        <v>1131.4000000000001</v>
      </c>
      <c r="O361" t="s">
        <v>52</v>
      </c>
      <c r="P361">
        <v>24.71</v>
      </c>
    </row>
    <row r="362" spans="1:16" x14ac:dyDescent="0.25">
      <c r="A362" t="s">
        <v>427</v>
      </c>
      <c r="B362" s="1">
        <v>44340</v>
      </c>
      <c r="C362">
        <v>2021</v>
      </c>
      <c r="D362" t="s">
        <v>31</v>
      </c>
      <c r="E362" t="s">
        <v>82</v>
      </c>
      <c r="F362" t="s">
        <v>19</v>
      </c>
      <c r="G362" t="s">
        <v>56</v>
      </c>
      <c r="H362">
        <v>50.4</v>
      </c>
      <c r="I362">
        <v>110.78</v>
      </c>
      <c r="J362">
        <v>2198</v>
      </c>
      <c r="K362" t="s">
        <v>40</v>
      </c>
      <c r="L362" t="s">
        <v>47</v>
      </c>
      <c r="M362">
        <v>268.19</v>
      </c>
      <c r="N362">
        <v>406.78</v>
      </c>
      <c r="O362" t="s">
        <v>42</v>
      </c>
      <c r="P362">
        <v>32.520000000000003</v>
      </c>
    </row>
    <row r="363" spans="1:16" x14ac:dyDescent="0.25">
      <c r="A363" t="s">
        <v>428</v>
      </c>
      <c r="B363" s="1">
        <v>44836</v>
      </c>
      <c r="C363">
        <v>2022</v>
      </c>
      <c r="D363" t="s">
        <v>31</v>
      </c>
      <c r="E363" t="s">
        <v>82</v>
      </c>
      <c r="F363" t="s">
        <v>33</v>
      </c>
      <c r="G363" t="s">
        <v>64</v>
      </c>
      <c r="H363">
        <v>92.1</v>
      </c>
      <c r="I363">
        <v>465.55</v>
      </c>
      <c r="J363">
        <v>5054.87</v>
      </c>
      <c r="K363" t="s">
        <v>28</v>
      </c>
      <c r="L363" t="s">
        <v>49</v>
      </c>
      <c r="M363">
        <v>203.46</v>
      </c>
      <c r="N363">
        <v>964.24</v>
      </c>
      <c r="O363" t="s">
        <v>61</v>
      </c>
      <c r="P363">
        <v>34.369999999999997</v>
      </c>
    </row>
    <row r="364" spans="1:16" x14ac:dyDescent="0.25">
      <c r="A364" t="s">
        <v>429</v>
      </c>
      <c r="B364" s="1">
        <v>42877</v>
      </c>
      <c r="C364">
        <v>2017</v>
      </c>
      <c r="D364" t="s">
        <v>59</v>
      </c>
      <c r="E364" t="s">
        <v>63</v>
      </c>
      <c r="F364" t="s">
        <v>19</v>
      </c>
      <c r="G364" t="s">
        <v>20</v>
      </c>
      <c r="H364">
        <v>49.59</v>
      </c>
      <c r="I364">
        <v>342.49</v>
      </c>
      <c r="J364">
        <v>6906.37</v>
      </c>
      <c r="K364" t="s">
        <v>34</v>
      </c>
      <c r="L364" t="s">
        <v>29</v>
      </c>
      <c r="M364">
        <v>149.47</v>
      </c>
      <c r="N364">
        <v>950.17</v>
      </c>
      <c r="O364" t="s">
        <v>42</v>
      </c>
      <c r="P364">
        <v>20.81</v>
      </c>
    </row>
    <row r="365" spans="1:16" x14ac:dyDescent="0.25">
      <c r="A365" t="s">
        <v>430</v>
      </c>
      <c r="B365" s="1">
        <v>40313</v>
      </c>
      <c r="C365">
        <v>2010</v>
      </c>
      <c r="D365" t="s">
        <v>36</v>
      </c>
      <c r="E365" t="s">
        <v>77</v>
      </c>
      <c r="F365" t="s">
        <v>19</v>
      </c>
      <c r="G365" t="s">
        <v>20</v>
      </c>
      <c r="H365">
        <v>39.979999999999997</v>
      </c>
      <c r="I365">
        <v>204.62</v>
      </c>
      <c r="J365">
        <v>5118.03</v>
      </c>
      <c r="K365" t="s">
        <v>40</v>
      </c>
      <c r="L365" t="s">
        <v>22</v>
      </c>
      <c r="M365">
        <v>164.3</v>
      </c>
      <c r="N365">
        <v>320.37</v>
      </c>
      <c r="O365" t="s">
        <v>61</v>
      </c>
      <c r="P365">
        <v>26.9</v>
      </c>
    </row>
    <row r="366" spans="1:16" x14ac:dyDescent="0.25">
      <c r="A366" t="s">
        <v>431</v>
      </c>
      <c r="B366" s="1">
        <v>41666</v>
      </c>
      <c r="C366">
        <v>2013</v>
      </c>
      <c r="D366" t="s">
        <v>25</v>
      </c>
      <c r="E366" t="s">
        <v>69</v>
      </c>
      <c r="F366" t="s">
        <v>38</v>
      </c>
      <c r="G366" t="s">
        <v>27</v>
      </c>
      <c r="H366">
        <v>10.97</v>
      </c>
      <c r="I366">
        <v>34.770000000000003</v>
      </c>
      <c r="J366">
        <v>3169.61</v>
      </c>
      <c r="K366" t="s">
        <v>34</v>
      </c>
      <c r="L366" t="s">
        <v>49</v>
      </c>
      <c r="M366">
        <v>96.79</v>
      </c>
      <c r="N366">
        <v>462.85</v>
      </c>
      <c r="O366" t="s">
        <v>70</v>
      </c>
      <c r="P366">
        <v>27.07</v>
      </c>
    </row>
    <row r="367" spans="1:16" x14ac:dyDescent="0.25">
      <c r="A367" t="s">
        <v>432</v>
      </c>
      <c r="B367" s="1">
        <v>42580</v>
      </c>
      <c r="C367">
        <v>2016</v>
      </c>
      <c r="D367" t="s">
        <v>103</v>
      </c>
      <c r="E367" t="s">
        <v>107</v>
      </c>
      <c r="F367" t="s">
        <v>33</v>
      </c>
      <c r="G367" t="s">
        <v>46</v>
      </c>
      <c r="H367">
        <v>70.37</v>
      </c>
      <c r="I367">
        <v>227.57</v>
      </c>
      <c r="J367">
        <v>3233.86</v>
      </c>
      <c r="K367" t="s">
        <v>28</v>
      </c>
      <c r="L367" t="s">
        <v>22</v>
      </c>
      <c r="M367">
        <v>119.91</v>
      </c>
      <c r="N367">
        <v>379.89</v>
      </c>
      <c r="O367" t="s">
        <v>42</v>
      </c>
      <c r="P367">
        <v>34.69</v>
      </c>
    </row>
    <row r="368" spans="1:16" x14ac:dyDescent="0.25">
      <c r="A368" t="s">
        <v>433</v>
      </c>
      <c r="B368" s="1">
        <v>44758</v>
      </c>
      <c r="C368">
        <v>2022</v>
      </c>
      <c r="D368" t="s">
        <v>17</v>
      </c>
      <c r="E368" t="s">
        <v>72</v>
      </c>
      <c r="F368" t="s">
        <v>33</v>
      </c>
      <c r="G368" t="s">
        <v>27</v>
      </c>
      <c r="H368">
        <v>43.79</v>
      </c>
      <c r="I368">
        <v>143.86000000000001</v>
      </c>
      <c r="J368">
        <v>3285.3</v>
      </c>
      <c r="K368" t="s">
        <v>40</v>
      </c>
      <c r="L368" t="s">
        <v>29</v>
      </c>
      <c r="M368">
        <v>250.01</v>
      </c>
      <c r="N368">
        <v>938.54</v>
      </c>
      <c r="O368" t="s">
        <v>52</v>
      </c>
      <c r="P368">
        <v>32.090000000000003</v>
      </c>
    </row>
    <row r="369" spans="1:16" x14ac:dyDescent="0.25">
      <c r="A369" t="s">
        <v>434</v>
      </c>
      <c r="B369" s="1">
        <v>43966</v>
      </c>
      <c r="C369">
        <v>2020</v>
      </c>
      <c r="D369" t="s">
        <v>36</v>
      </c>
      <c r="E369" t="s">
        <v>37</v>
      </c>
      <c r="F369" t="s">
        <v>19</v>
      </c>
      <c r="G369" t="s">
        <v>27</v>
      </c>
      <c r="H369">
        <v>72.34</v>
      </c>
      <c r="I369">
        <v>413.21</v>
      </c>
      <c r="J369">
        <v>5712</v>
      </c>
      <c r="K369" t="s">
        <v>34</v>
      </c>
      <c r="L369" t="s">
        <v>41</v>
      </c>
      <c r="M369">
        <v>112.74</v>
      </c>
      <c r="N369">
        <v>1058.5</v>
      </c>
      <c r="O369" t="s">
        <v>23</v>
      </c>
      <c r="P369">
        <v>25.98</v>
      </c>
    </row>
    <row r="370" spans="1:16" x14ac:dyDescent="0.25">
      <c r="A370" t="s">
        <v>435</v>
      </c>
      <c r="B370" s="1">
        <v>42049</v>
      </c>
      <c r="C370">
        <v>2014</v>
      </c>
      <c r="D370" t="s">
        <v>25</v>
      </c>
      <c r="E370" t="s">
        <v>26</v>
      </c>
      <c r="F370" t="s">
        <v>38</v>
      </c>
      <c r="G370" t="s">
        <v>39</v>
      </c>
      <c r="H370">
        <v>10.53</v>
      </c>
      <c r="I370">
        <v>57.57</v>
      </c>
      <c r="J370">
        <v>5467.56</v>
      </c>
      <c r="K370" t="s">
        <v>34</v>
      </c>
      <c r="L370" t="s">
        <v>22</v>
      </c>
      <c r="M370">
        <v>140.24</v>
      </c>
      <c r="N370">
        <v>760.35</v>
      </c>
      <c r="O370" t="s">
        <v>70</v>
      </c>
      <c r="P370">
        <v>25.16</v>
      </c>
    </row>
    <row r="371" spans="1:16" x14ac:dyDescent="0.25">
      <c r="A371" t="s">
        <v>436</v>
      </c>
      <c r="B371" s="1">
        <v>43741</v>
      </c>
      <c r="C371">
        <v>2019</v>
      </c>
      <c r="D371" t="s">
        <v>31</v>
      </c>
      <c r="E371" t="s">
        <v>117</v>
      </c>
      <c r="F371" t="s">
        <v>33</v>
      </c>
      <c r="G371" t="s">
        <v>27</v>
      </c>
      <c r="H371">
        <v>58.01</v>
      </c>
      <c r="I371">
        <v>283.95</v>
      </c>
      <c r="J371">
        <v>4894.79</v>
      </c>
      <c r="K371" t="s">
        <v>40</v>
      </c>
      <c r="L371" t="s">
        <v>29</v>
      </c>
      <c r="M371">
        <v>294.83999999999997</v>
      </c>
      <c r="N371">
        <v>484.61</v>
      </c>
      <c r="O371" t="s">
        <v>70</v>
      </c>
      <c r="P371">
        <v>30.1</v>
      </c>
    </row>
    <row r="372" spans="1:16" x14ac:dyDescent="0.25">
      <c r="A372" t="s">
        <v>437</v>
      </c>
      <c r="B372" s="1">
        <v>43916</v>
      </c>
      <c r="C372">
        <v>2019</v>
      </c>
      <c r="D372" t="s">
        <v>25</v>
      </c>
      <c r="E372" t="s">
        <v>87</v>
      </c>
      <c r="F372" t="s">
        <v>38</v>
      </c>
      <c r="G372" t="s">
        <v>46</v>
      </c>
      <c r="H372">
        <v>63.54</v>
      </c>
      <c r="I372">
        <v>118.76</v>
      </c>
      <c r="J372">
        <v>1869.09</v>
      </c>
      <c r="K372" t="s">
        <v>40</v>
      </c>
      <c r="L372" t="s">
        <v>29</v>
      </c>
      <c r="M372">
        <v>210.15</v>
      </c>
      <c r="N372">
        <v>1128.57</v>
      </c>
      <c r="O372" t="s">
        <v>52</v>
      </c>
      <c r="P372">
        <v>29.47</v>
      </c>
    </row>
    <row r="373" spans="1:16" x14ac:dyDescent="0.25">
      <c r="A373" t="s">
        <v>438</v>
      </c>
      <c r="B373" s="1">
        <v>40808</v>
      </c>
      <c r="C373">
        <v>2011</v>
      </c>
      <c r="D373" t="s">
        <v>44</v>
      </c>
      <c r="E373" t="s">
        <v>45</v>
      </c>
      <c r="F373" t="s">
        <v>33</v>
      </c>
      <c r="G373" t="s">
        <v>20</v>
      </c>
      <c r="H373">
        <v>23.59</v>
      </c>
      <c r="I373">
        <v>68.44</v>
      </c>
      <c r="J373">
        <v>2901.27</v>
      </c>
      <c r="K373" t="s">
        <v>34</v>
      </c>
      <c r="L373" t="s">
        <v>49</v>
      </c>
      <c r="M373">
        <v>227.61</v>
      </c>
      <c r="N373">
        <v>805.38</v>
      </c>
      <c r="O373" t="s">
        <v>52</v>
      </c>
      <c r="P373">
        <v>24.07</v>
      </c>
    </row>
    <row r="374" spans="1:16" x14ac:dyDescent="0.25">
      <c r="A374" t="s">
        <v>439</v>
      </c>
      <c r="B374" s="1">
        <v>43506</v>
      </c>
      <c r="C374">
        <v>2018</v>
      </c>
      <c r="D374" t="s">
        <v>17</v>
      </c>
      <c r="E374" t="s">
        <v>54</v>
      </c>
      <c r="F374" t="s">
        <v>38</v>
      </c>
      <c r="G374" t="s">
        <v>46</v>
      </c>
      <c r="H374">
        <v>17.559999999999999</v>
      </c>
      <c r="I374">
        <v>107.56</v>
      </c>
      <c r="J374">
        <v>6125.27</v>
      </c>
      <c r="K374" t="s">
        <v>40</v>
      </c>
      <c r="L374" t="s">
        <v>22</v>
      </c>
      <c r="M374">
        <v>231.94</v>
      </c>
      <c r="N374">
        <v>862.02</v>
      </c>
      <c r="O374" t="s">
        <v>23</v>
      </c>
      <c r="P374">
        <v>23.16</v>
      </c>
    </row>
    <row r="375" spans="1:16" x14ac:dyDescent="0.25">
      <c r="A375" t="s">
        <v>440</v>
      </c>
      <c r="B375" s="1">
        <v>42882</v>
      </c>
      <c r="C375">
        <v>2017</v>
      </c>
      <c r="D375" t="s">
        <v>25</v>
      </c>
      <c r="E375" t="s">
        <v>26</v>
      </c>
      <c r="F375" t="s">
        <v>19</v>
      </c>
      <c r="G375" t="s">
        <v>64</v>
      </c>
      <c r="H375">
        <v>3.61</v>
      </c>
      <c r="I375">
        <v>12.21</v>
      </c>
      <c r="J375">
        <v>3382.08</v>
      </c>
      <c r="K375" t="s">
        <v>21</v>
      </c>
      <c r="L375" t="s">
        <v>29</v>
      </c>
      <c r="M375">
        <v>75.98</v>
      </c>
      <c r="N375">
        <v>818.1</v>
      </c>
      <c r="O375" t="s">
        <v>23</v>
      </c>
      <c r="P375">
        <v>29.82</v>
      </c>
    </row>
    <row r="376" spans="1:16" x14ac:dyDescent="0.25">
      <c r="A376" t="s">
        <v>441</v>
      </c>
      <c r="B376" s="1">
        <v>41394</v>
      </c>
      <c r="C376">
        <v>2013</v>
      </c>
      <c r="D376" t="s">
        <v>31</v>
      </c>
      <c r="E376" t="s">
        <v>82</v>
      </c>
      <c r="F376" t="s">
        <v>19</v>
      </c>
      <c r="G376" t="s">
        <v>20</v>
      </c>
      <c r="H376">
        <v>44.87</v>
      </c>
      <c r="I376">
        <v>78.900000000000006</v>
      </c>
      <c r="J376">
        <v>1758.47</v>
      </c>
      <c r="K376" t="s">
        <v>40</v>
      </c>
      <c r="L376" t="s">
        <v>47</v>
      </c>
      <c r="M376">
        <v>57.14</v>
      </c>
      <c r="N376">
        <v>863.55</v>
      </c>
      <c r="O376" t="s">
        <v>70</v>
      </c>
      <c r="P376">
        <v>32.96</v>
      </c>
    </row>
    <row r="377" spans="1:16" x14ac:dyDescent="0.25">
      <c r="A377" t="s">
        <v>442</v>
      </c>
      <c r="B377" s="1">
        <v>43023</v>
      </c>
      <c r="C377">
        <v>2017</v>
      </c>
      <c r="D377" t="s">
        <v>31</v>
      </c>
      <c r="E377" t="s">
        <v>117</v>
      </c>
      <c r="F377" t="s">
        <v>33</v>
      </c>
      <c r="G377" t="s">
        <v>39</v>
      </c>
      <c r="H377">
        <v>54.39</v>
      </c>
      <c r="I377">
        <v>247.2</v>
      </c>
      <c r="J377">
        <v>4544.99</v>
      </c>
      <c r="K377" t="s">
        <v>28</v>
      </c>
      <c r="L377" t="s">
        <v>49</v>
      </c>
      <c r="M377">
        <v>207.76</v>
      </c>
      <c r="N377">
        <v>835.85</v>
      </c>
      <c r="O377" t="s">
        <v>61</v>
      </c>
      <c r="P377">
        <v>26.52</v>
      </c>
    </row>
    <row r="378" spans="1:16" x14ac:dyDescent="0.25">
      <c r="A378" t="s">
        <v>443</v>
      </c>
      <c r="B378" s="1">
        <v>43286</v>
      </c>
      <c r="C378">
        <v>2018</v>
      </c>
      <c r="D378" t="s">
        <v>31</v>
      </c>
      <c r="E378" t="s">
        <v>32</v>
      </c>
      <c r="F378" t="s">
        <v>33</v>
      </c>
      <c r="G378" t="s">
        <v>64</v>
      </c>
      <c r="H378">
        <v>44.74</v>
      </c>
      <c r="I378">
        <v>142.93</v>
      </c>
      <c r="J378">
        <v>3194.7</v>
      </c>
      <c r="K378" t="s">
        <v>34</v>
      </c>
      <c r="L378" t="s">
        <v>49</v>
      </c>
      <c r="M378">
        <v>88.93</v>
      </c>
      <c r="N378">
        <v>210.56</v>
      </c>
      <c r="O378" t="s">
        <v>61</v>
      </c>
      <c r="P378">
        <v>32.229999999999997</v>
      </c>
    </row>
    <row r="379" spans="1:16" x14ac:dyDescent="0.25">
      <c r="A379" t="s">
        <v>444</v>
      </c>
      <c r="B379" s="1">
        <v>43253</v>
      </c>
      <c r="C379">
        <v>2018</v>
      </c>
      <c r="D379" t="s">
        <v>31</v>
      </c>
      <c r="E379" t="s">
        <v>32</v>
      </c>
      <c r="F379" t="s">
        <v>33</v>
      </c>
      <c r="G379" t="s">
        <v>39</v>
      </c>
      <c r="H379">
        <v>92.29</v>
      </c>
      <c r="I379">
        <v>616.66</v>
      </c>
      <c r="J379">
        <v>6681.75</v>
      </c>
      <c r="K379" t="s">
        <v>28</v>
      </c>
      <c r="L379" t="s">
        <v>47</v>
      </c>
      <c r="M379">
        <v>124.9</v>
      </c>
      <c r="N379">
        <v>965.87</v>
      </c>
      <c r="O379" t="s">
        <v>70</v>
      </c>
      <c r="P379">
        <v>28.96</v>
      </c>
    </row>
    <row r="380" spans="1:16" x14ac:dyDescent="0.25">
      <c r="A380" t="s">
        <v>445</v>
      </c>
      <c r="B380" s="1">
        <v>42476</v>
      </c>
      <c r="C380">
        <v>2016</v>
      </c>
      <c r="D380" t="s">
        <v>31</v>
      </c>
      <c r="E380" t="s">
        <v>82</v>
      </c>
      <c r="F380" t="s">
        <v>19</v>
      </c>
      <c r="G380" t="s">
        <v>46</v>
      </c>
      <c r="H380">
        <v>40.08</v>
      </c>
      <c r="I380">
        <v>79.34</v>
      </c>
      <c r="J380">
        <v>1979.62</v>
      </c>
      <c r="K380" t="s">
        <v>28</v>
      </c>
      <c r="L380" t="s">
        <v>47</v>
      </c>
      <c r="M380">
        <v>257.11</v>
      </c>
      <c r="N380">
        <v>420.59</v>
      </c>
      <c r="O380" t="s">
        <v>23</v>
      </c>
      <c r="P380">
        <v>26.33</v>
      </c>
    </row>
    <row r="381" spans="1:16" x14ac:dyDescent="0.25">
      <c r="A381" t="s">
        <v>446</v>
      </c>
      <c r="B381" s="1">
        <v>44659</v>
      </c>
      <c r="C381">
        <v>2022</v>
      </c>
      <c r="D381" t="s">
        <v>44</v>
      </c>
      <c r="E381" t="s">
        <v>67</v>
      </c>
      <c r="F381" t="s">
        <v>19</v>
      </c>
      <c r="G381" t="s">
        <v>39</v>
      </c>
      <c r="H381">
        <v>27.91</v>
      </c>
      <c r="I381">
        <v>136.5</v>
      </c>
      <c r="J381">
        <v>4890.74</v>
      </c>
      <c r="K381" t="s">
        <v>34</v>
      </c>
      <c r="L381" t="s">
        <v>29</v>
      </c>
      <c r="M381">
        <v>153.22999999999999</v>
      </c>
      <c r="N381">
        <v>1053.48</v>
      </c>
      <c r="O381" t="s">
        <v>42</v>
      </c>
      <c r="P381">
        <v>22.05</v>
      </c>
    </row>
    <row r="382" spans="1:16" x14ac:dyDescent="0.25">
      <c r="A382" t="s">
        <v>447</v>
      </c>
      <c r="B382" s="1">
        <v>41748</v>
      </c>
      <c r="C382">
        <v>2014</v>
      </c>
      <c r="D382" t="s">
        <v>59</v>
      </c>
      <c r="E382" t="s">
        <v>63</v>
      </c>
      <c r="F382" t="s">
        <v>19</v>
      </c>
      <c r="G382" t="s">
        <v>27</v>
      </c>
      <c r="H382">
        <v>49.71</v>
      </c>
      <c r="I382">
        <v>145.35</v>
      </c>
      <c r="J382">
        <v>2923.86</v>
      </c>
      <c r="K382" t="s">
        <v>40</v>
      </c>
      <c r="L382" t="s">
        <v>49</v>
      </c>
      <c r="M382">
        <v>62.41</v>
      </c>
      <c r="N382">
        <v>734.97</v>
      </c>
      <c r="O382" t="s">
        <v>42</v>
      </c>
      <c r="P382">
        <v>34.58</v>
      </c>
    </row>
    <row r="383" spans="1:16" x14ac:dyDescent="0.25">
      <c r="A383" t="s">
        <v>448</v>
      </c>
      <c r="B383" s="1">
        <v>42855</v>
      </c>
      <c r="C383">
        <v>2017</v>
      </c>
      <c r="D383" t="s">
        <v>103</v>
      </c>
      <c r="E383" t="s">
        <v>228</v>
      </c>
      <c r="F383" t="s">
        <v>19</v>
      </c>
      <c r="G383" t="s">
        <v>64</v>
      </c>
      <c r="H383">
        <v>24.05</v>
      </c>
      <c r="I383">
        <v>45.79</v>
      </c>
      <c r="J383">
        <v>1904.1</v>
      </c>
      <c r="K383" t="s">
        <v>28</v>
      </c>
      <c r="L383" t="s">
        <v>22</v>
      </c>
      <c r="M383">
        <v>104.3</v>
      </c>
      <c r="N383">
        <v>620.24</v>
      </c>
      <c r="O383" t="s">
        <v>52</v>
      </c>
      <c r="P383">
        <v>34.97</v>
      </c>
    </row>
    <row r="384" spans="1:16" x14ac:dyDescent="0.25">
      <c r="A384" t="s">
        <v>449</v>
      </c>
      <c r="B384" s="1">
        <v>44716</v>
      </c>
      <c r="C384">
        <v>2022</v>
      </c>
      <c r="D384" t="s">
        <v>31</v>
      </c>
      <c r="E384" t="s">
        <v>82</v>
      </c>
      <c r="F384" t="s">
        <v>33</v>
      </c>
      <c r="G384" t="s">
        <v>64</v>
      </c>
      <c r="H384">
        <v>27.38</v>
      </c>
      <c r="I384">
        <v>91.85</v>
      </c>
      <c r="J384">
        <v>3354.53</v>
      </c>
      <c r="K384" t="s">
        <v>28</v>
      </c>
      <c r="L384" t="s">
        <v>22</v>
      </c>
      <c r="M384">
        <v>95.4</v>
      </c>
      <c r="N384">
        <v>1095.7</v>
      </c>
      <c r="O384" t="s">
        <v>70</v>
      </c>
      <c r="P384">
        <v>32.26</v>
      </c>
    </row>
    <row r="385" spans="1:16" x14ac:dyDescent="0.25">
      <c r="A385" t="s">
        <v>450</v>
      </c>
      <c r="B385" s="1">
        <v>41632</v>
      </c>
      <c r="C385">
        <v>2013</v>
      </c>
      <c r="D385" t="s">
        <v>44</v>
      </c>
      <c r="E385" t="s">
        <v>67</v>
      </c>
      <c r="F385" t="s">
        <v>38</v>
      </c>
      <c r="G385" t="s">
        <v>46</v>
      </c>
      <c r="H385">
        <v>25.47</v>
      </c>
      <c r="I385">
        <v>177.45</v>
      </c>
      <c r="J385">
        <v>6967.21</v>
      </c>
      <c r="K385" t="s">
        <v>40</v>
      </c>
      <c r="L385" t="s">
        <v>29</v>
      </c>
      <c r="M385">
        <v>165.21</v>
      </c>
      <c r="N385">
        <v>971</v>
      </c>
      <c r="O385" t="s">
        <v>61</v>
      </c>
      <c r="P385">
        <v>29.99</v>
      </c>
    </row>
    <row r="386" spans="1:16" x14ac:dyDescent="0.25">
      <c r="A386" t="s">
        <v>451</v>
      </c>
      <c r="B386" s="1">
        <v>41957</v>
      </c>
      <c r="C386">
        <v>2014</v>
      </c>
      <c r="D386" t="s">
        <v>36</v>
      </c>
      <c r="E386" t="s">
        <v>77</v>
      </c>
      <c r="F386" t="s">
        <v>38</v>
      </c>
      <c r="G386" t="s">
        <v>56</v>
      </c>
      <c r="H386">
        <v>63.29</v>
      </c>
      <c r="I386">
        <v>79.31</v>
      </c>
      <c r="J386">
        <v>1253.1199999999999</v>
      </c>
      <c r="K386" t="s">
        <v>21</v>
      </c>
      <c r="L386" t="s">
        <v>41</v>
      </c>
      <c r="M386">
        <v>113.33</v>
      </c>
      <c r="N386">
        <v>838.52</v>
      </c>
      <c r="O386" t="s">
        <v>42</v>
      </c>
      <c r="P386">
        <v>25.41</v>
      </c>
    </row>
    <row r="387" spans="1:16" x14ac:dyDescent="0.25">
      <c r="A387" t="s">
        <v>452</v>
      </c>
      <c r="B387" s="1">
        <v>44257</v>
      </c>
      <c r="C387">
        <v>2020</v>
      </c>
      <c r="D387" t="s">
        <v>25</v>
      </c>
      <c r="E387" t="s">
        <v>26</v>
      </c>
      <c r="F387" t="s">
        <v>38</v>
      </c>
      <c r="G387" t="s">
        <v>20</v>
      </c>
      <c r="H387">
        <v>2.4900000000000002</v>
      </c>
      <c r="I387">
        <v>14.36</v>
      </c>
      <c r="J387">
        <v>5766.34</v>
      </c>
      <c r="K387" t="s">
        <v>21</v>
      </c>
      <c r="L387" t="s">
        <v>47</v>
      </c>
      <c r="M387">
        <v>148.94999999999999</v>
      </c>
      <c r="N387">
        <v>443.09</v>
      </c>
      <c r="O387" t="s">
        <v>23</v>
      </c>
      <c r="P387">
        <v>28.72</v>
      </c>
    </row>
    <row r="388" spans="1:16" x14ac:dyDescent="0.25">
      <c r="A388" t="s">
        <v>453</v>
      </c>
      <c r="B388" s="1">
        <v>44752</v>
      </c>
      <c r="C388">
        <v>2022</v>
      </c>
      <c r="D388" t="s">
        <v>103</v>
      </c>
      <c r="E388" t="s">
        <v>107</v>
      </c>
      <c r="F388" t="s">
        <v>33</v>
      </c>
      <c r="G388" t="s">
        <v>56</v>
      </c>
      <c r="H388">
        <v>16.61</v>
      </c>
      <c r="I388">
        <v>25.72</v>
      </c>
      <c r="J388">
        <v>1548.41</v>
      </c>
      <c r="K388" t="s">
        <v>34</v>
      </c>
      <c r="L388" t="s">
        <v>47</v>
      </c>
      <c r="M388">
        <v>282.70999999999998</v>
      </c>
      <c r="N388">
        <v>1196.97</v>
      </c>
      <c r="O388" t="s">
        <v>23</v>
      </c>
      <c r="P388">
        <v>20.9</v>
      </c>
    </row>
    <row r="389" spans="1:16" x14ac:dyDescent="0.25">
      <c r="A389" t="s">
        <v>454</v>
      </c>
      <c r="B389" s="1">
        <v>41310</v>
      </c>
      <c r="C389">
        <v>2012</v>
      </c>
      <c r="D389" t="s">
        <v>44</v>
      </c>
      <c r="E389" t="s">
        <v>45</v>
      </c>
      <c r="F389" t="s">
        <v>38</v>
      </c>
      <c r="G389" t="s">
        <v>56</v>
      </c>
      <c r="H389">
        <v>32.36</v>
      </c>
      <c r="I389">
        <v>140.77000000000001</v>
      </c>
      <c r="J389">
        <v>4350.1000000000004</v>
      </c>
      <c r="K389" t="s">
        <v>34</v>
      </c>
      <c r="L389" t="s">
        <v>49</v>
      </c>
      <c r="M389">
        <v>251.38</v>
      </c>
      <c r="N389">
        <v>638.72</v>
      </c>
      <c r="O389" t="s">
        <v>42</v>
      </c>
      <c r="P389">
        <v>20.32</v>
      </c>
    </row>
    <row r="390" spans="1:16" x14ac:dyDescent="0.25">
      <c r="A390" t="s">
        <v>455</v>
      </c>
      <c r="B390" s="1">
        <v>41910</v>
      </c>
      <c r="C390">
        <v>2014</v>
      </c>
      <c r="D390" t="s">
        <v>17</v>
      </c>
      <c r="E390" t="s">
        <v>18</v>
      </c>
      <c r="F390" t="s">
        <v>33</v>
      </c>
      <c r="G390" t="s">
        <v>46</v>
      </c>
      <c r="H390">
        <v>70.959999999999994</v>
      </c>
      <c r="I390">
        <v>308.97000000000003</v>
      </c>
      <c r="J390">
        <v>4354.1499999999996</v>
      </c>
      <c r="K390" t="s">
        <v>28</v>
      </c>
      <c r="L390" t="s">
        <v>49</v>
      </c>
      <c r="M390">
        <v>97.44</v>
      </c>
      <c r="N390">
        <v>386.63</v>
      </c>
      <c r="O390" t="s">
        <v>70</v>
      </c>
      <c r="P390">
        <v>24.86</v>
      </c>
    </row>
    <row r="391" spans="1:16" x14ac:dyDescent="0.25">
      <c r="A391" t="s">
        <v>456</v>
      </c>
      <c r="B391" s="1">
        <v>43299</v>
      </c>
      <c r="C391">
        <v>2018</v>
      </c>
      <c r="D391" t="s">
        <v>44</v>
      </c>
      <c r="E391" t="s">
        <v>67</v>
      </c>
      <c r="F391" t="s">
        <v>33</v>
      </c>
      <c r="G391" t="s">
        <v>64</v>
      </c>
      <c r="H391">
        <v>53.58</v>
      </c>
      <c r="I391">
        <v>198.05</v>
      </c>
      <c r="J391">
        <v>3696.31</v>
      </c>
      <c r="K391" t="s">
        <v>34</v>
      </c>
      <c r="L391" t="s">
        <v>22</v>
      </c>
      <c r="M391">
        <v>185.4</v>
      </c>
      <c r="N391">
        <v>654.08000000000004</v>
      </c>
      <c r="O391" t="s">
        <v>61</v>
      </c>
      <c r="P391">
        <v>25.69</v>
      </c>
    </row>
    <row r="392" spans="1:16" x14ac:dyDescent="0.25">
      <c r="A392" t="s">
        <v>457</v>
      </c>
      <c r="B392" s="1">
        <v>44670</v>
      </c>
      <c r="C392">
        <v>2022</v>
      </c>
      <c r="D392" t="s">
        <v>59</v>
      </c>
      <c r="E392" t="s">
        <v>63</v>
      </c>
      <c r="F392" t="s">
        <v>19</v>
      </c>
      <c r="G392" t="s">
        <v>56</v>
      </c>
      <c r="H392">
        <v>32.75</v>
      </c>
      <c r="I392">
        <v>45.2</v>
      </c>
      <c r="J392">
        <v>1380.05</v>
      </c>
      <c r="K392" t="s">
        <v>28</v>
      </c>
      <c r="L392" t="s">
        <v>49</v>
      </c>
      <c r="M392">
        <v>97.47</v>
      </c>
      <c r="N392">
        <v>883.22</v>
      </c>
      <c r="O392" t="s">
        <v>61</v>
      </c>
      <c r="P392">
        <v>22.31</v>
      </c>
    </row>
    <row r="393" spans="1:16" x14ac:dyDescent="0.25">
      <c r="A393" t="s">
        <v>458</v>
      </c>
      <c r="B393" s="1">
        <v>42181</v>
      </c>
      <c r="C393">
        <v>2015</v>
      </c>
      <c r="D393" t="s">
        <v>36</v>
      </c>
      <c r="E393" t="s">
        <v>77</v>
      </c>
      <c r="F393" t="s">
        <v>33</v>
      </c>
      <c r="G393" t="s">
        <v>64</v>
      </c>
      <c r="H393">
        <v>52.8</v>
      </c>
      <c r="I393">
        <v>73.92</v>
      </c>
      <c r="J393">
        <v>1400.08</v>
      </c>
      <c r="K393" t="s">
        <v>40</v>
      </c>
      <c r="L393" t="s">
        <v>22</v>
      </c>
      <c r="M393">
        <v>94.66</v>
      </c>
      <c r="N393">
        <v>231.27</v>
      </c>
      <c r="O393" t="s">
        <v>23</v>
      </c>
      <c r="P393">
        <v>27.28</v>
      </c>
    </row>
    <row r="394" spans="1:16" x14ac:dyDescent="0.25">
      <c r="A394" t="s">
        <v>459</v>
      </c>
      <c r="B394" s="1">
        <v>42519</v>
      </c>
      <c r="C394">
        <v>2016</v>
      </c>
      <c r="D394" t="s">
        <v>59</v>
      </c>
      <c r="E394" t="s">
        <v>93</v>
      </c>
      <c r="F394" t="s">
        <v>19</v>
      </c>
      <c r="G394" t="s">
        <v>46</v>
      </c>
      <c r="H394">
        <v>53.06</v>
      </c>
      <c r="I394">
        <v>276.33</v>
      </c>
      <c r="J394">
        <v>5207.88</v>
      </c>
      <c r="K394" t="s">
        <v>34</v>
      </c>
      <c r="L394" t="s">
        <v>41</v>
      </c>
      <c r="M394">
        <v>62.27</v>
      </c>
      <c r="N394">
        <v>420.72</v>
      </c>
      <c r="O394" t="s">
        <v>23</v>
      </c>
      <c r="P394">
        <v>20.2</v>
      </c>
    </row>
    <row r="395" spans="1:16" x14ac:dyDescent="0.25">
      <c r="A395" t="s">
        <v>460</v>
      </c>
      <c r="B395" s="1">
        <v>40916</v>
      </c>
      <c r="C395">
        <v>2011</v>
      </c>
      <c r="D395" t="s">
        <v>17</v>
      </c>
      <c r="E395" t="s">
        <v>72</v>
      </c>
      <c r="F395" t="s">
        <v>38</v>
      </c>
      <c r="G395" t="s">
        <v>39</v>
      </c>
      <c r="H395">
        <v>7.01</v>
      </c>
      <c r="I395">
        <v>30.48</v>
      </c>
      <c r="J395">
        <v>4348.12</v>
      </c>
      <c r="K395" t="s">
        <v>28</v>
      </c>
      <c r="L395" t="s">
        <v>47</v>
      </c>
      <c r="M395">
        <v>255.51</v>
      </c>
      <c r="N395">
        <v>994.25</v>
      </c>
      <c r="O395" t="s">
        <v>23</v>
      </c>
      <c r="P395">
        <v>32.35</v>
      </c>
    </row>
    <row r="396" spans="1:16" x14ac:dyDescent="0.25">
      <c r="A396" t="s">
        <v>461</v>
      </c>
      <c r="B396" s="1">
        <v>40982</v>
      </c>
      <c r="C396">
        <v>2011</v>
      </c>
      <c r="D396" t="s">
        <v>25</v>
      </c>
      <c r="E396" t="s">
        <v>69</v>
      </c>
      <c r="F396" t="s">
        <v>38</v>
      </c>
      <c r="G396" t="s">
        <v>64</v>
      </c>
      <c r="H396">
        <v>94.52</v>
      </c>
      <c r="I396">
        <v>639.29</v>
      </c>
      <c r="J396">
        <v>6763.52</v>
      </c>
      <c r="K396" t="s">
        <v>21</v>
      </c>
      <c r="L396" t="s">
        <v>41</v>
      </c>
      <c r="M396">
        <v>75.31</v>
      </c>
      <c r="N396">
        <v>431.02</v>
      </c>
      <c r="O396" t="s">
        <v>52</v>
      </c>
      <c r="P396">
        <v>22.84</v>
      </c>
    </row>
    <row r="397" spans="1:16" x14ac:dyDescent="0.25">
      <c r="A397" t="s">
        <v>462</v>
      </c>
      <c r="B397" s="1">
        <v>41010</v>
      </c>
      <c r="C397">
        <v>2012</v>
      </c>
      <c r="D397" t="s">
        <v>59</v>
      </c>
      <c r="E397" t="s">
        <v>93</v>
      </c>
      <c r="F397" t="s">
        <v>19</v>
      </c>
      <c r="G397" t="s">
        <v>39</v>
      </c>
      <c r="H397">
        <v>56.26</v>
      </c>
      <c r="I397">
        <v>308.12</v>
      </c>
      <c r="J397">
        <v>5476.65</v>
      </c>
      <c r="K397" t="s">
        <v>34</v>
      </c>
      <c r="L397" t="s">
        <v>41</v>
      </c>
      <c r="M397">
        <v>218.62</v>
      </c>
      <c r="N397">
        <v>902.55</v>
      </c>
      <c r="O397" t="s">
        <v>52</v>
      </c>
      <c r="P397">
        <v>33.24</v>
      </c>
    </row>
    <row r="398" spans="1:16" x14ac:dyDescent="0.25">
      <c r="A398" t="s">
        <v>463</v>
      </c>
      <c r="B398" s="1">
        <v>43488</v>
      </c>
      <c r="C398">
        <v>2018</v>
      </c>
      <c r="D398" t="s">
        <v>59</v>
      </c>
      <c r="E398" t="s">
        <v>63</v>
      </c>
      <c r="F398" t="s">
        <v>38</v>
      </c>
      <c r="G398" t="s">
        <v>39</v>
      </c>
      <c r="H398">
        <v>16.66</v>
      </c>
      <c r="I398">
        <v>116.46</v>
      </c>
      <c r="J398">
        <v>6990.6</v>
      </c>
      <c r="K398" t="s">
        <v>28</v>
      </c>
      <c r="L398" t="s">
        <v>49</v>
      </c>
      <c r="M398">
        <v>283.38</v>
      </c>
      <c r="N398">
        <v>1102.48</v>
      </c>
      <c r="O398" t="s">
        <v>61</v>
      </c>
      <c r="P398">
        <v>34.869999999999997</v>
      </c>
    </row>
    <row r="399" spans="1:16" x14ac:dyDescent="0.25">
      <c r="A399" t="s">
        <v>464</v>
      </c>
      <c r="B399" s="1">
        <v>42489</v>
      </c>
      <c r="C399">
        <v>2016</v>
      </c>
      <c r="D399" t="s">
        <v>36</v>
      </c>
      <c r="E399" t="s">
        <v>77</v>
      </c>
      <c r="F399" t="s">
        <v>19</v>
      </c>
      <c r="G399" t="s">
        <v>20</v>
      </c>
      <c r="H399">
        <v>61.23</v>
      </c>
      <c r="I399">
        <v>268.12</v>
      </c>
      <c r="J399">
        <v>4378.87</v>
      </c>
      <c r="K399" t="s">
        <v>40</v>
      </c>
      <c r="L399" t="s">
        <v>29</v>
      </c>
      <c r="M399">
        <v>143.77000000000001</v>
      </c>
      <c r="N399">
        <v>750.24</v>
      </c>
      <c r="O399" t="s">
        <v>70</v>
      </c>
      <c r="P399">
        <v>25.4</v>
      </c>
    </row>
    <row r="400" spans="1:16" x14ac:dyDescent="0.25">
      <c r="A400" t="s">
        <v>465</v>
      </c>
      <c r="B400" s="1">
        <v>44353</v>
      </c>
      <c r="C400">
        <v>2021</v>
      </c>
      <c r="D400" t="s">
        <v>36</v>
      </c>
      <c r="E400" t="s">
        <v>37</v>
      </c>
      <c r="F400" t="s">
        <v>33</v>
      </c>
      <c r="G400" t="s">
        <v>20</v>
      </c>
      <c r="H400">
        <v>59.98</v>
      </c>
      <c r="I400">
        <v>246.26</v>
      </c>
      <c r="J400">
        <v>4105.66</v>
      </c>
      <c r="K400" t="s">
        <v>34</v>
      </c>
      <c r="L400" t="s">
        <v>49</v>
      </c>
      <c r="M400">
        <v>51.64</v>
      </c>
      <c r="N400">
        <v>1184.3900000000001</v>
      </c>
      <c r="O400" t="s">
        <v>42</v>
      </c>
      <c r="P400">
        <v>32.840000000000003</v>
      </c>
    </row>
    <row r="401" spans="1:16" x14ac:dyDescent="0.25">
      <c r="A401" t="s">
        <v>466</v>
      </c>
      <c r="B401" s="1">
        <v>43207</v>
      </c>
      <c r="C401">
        <v>2018</v>
      </c>
      <c r="D401" t="s">
        <v>59</v>
      </c>
      <c r="E401" t="s">
        <v>93</v>
      </c>
      <c r="F401" t="s">
        <v>19</v>
      </c>
      <c r="G401" t="s">
        <v>27</v>
      </c>
      <c r="H401">
        <v>16.32</v>
      </c>
      <c r="I401">
        <v>20.02</v>
      </c>
      <c r="J401">
        <v>1226.42</v>
      </c>
      <c r="K401" t="s">
        <v>34</v>
      </c>
      <c r="L401" t="s">
        <v>49</v>
      </c>
      <c r="M401">
        <v>89.03</v>
      </c>
      <c r="N401">
        <v>464.99</v>
      </c>
      <c r="O401" t="s">
        <v>61</v>
      </c>
      <c r="P401">
        <v>23.75</v>
      </c>
    </row>
    <row r="402" spans="1:16" x14ac:dyDescent="0.25">
      <c r="A402" t="s">
        <v>467</v>
      </c>
      <c r="B402" s="1">
        <v>42467</v>
      </c>
      <c r="C402">
        <v>2016</v>
      </c>
      <c r="D402" t="s">
        <v>25</v>
      </c>
      <c r="E402" t="s">
        <v>69</v>
      </c>
      <c r="F402" t="s">
        <v>19</v>
      </c>
      <c r="G402" t="s">
        <v>56</v>
      </c>
      <c r="H402">
        <v>73.69</v>
      </c>
      <c r="I402">
        <v>393.61</v>
      </c>
      <c r="J402">
        <v>5341.48</v>
      </c>
      <c r="K402" t="s">
        <v>28</v>
      </c>
      <c r="L402" t="s">
        <v>47</v>
      </c>
      <c r="M402">
        <v>93.23</v>
      </c>
      <c r="N402">
        <v>1025.71</v>
      </c>
      <c r="O402" t="s">
        <v>61</v>
      </c>
      <c r="P402">
        <v>32.29</v>
      </c>
    </row>
    <row r="403" spans="1:16" x14ac:dyDescent="0.25">
      <c r="A403" t="s">
        <v>468</v>
      </c>
      <c r="B403" s="1">
        <v>40276</v>
      </c>
      <c r="C403">
        <v>2010</v>
      </c>
      <c r="D403" t="s">
        <v>17</v>
      </c>
      <c r="E403" t="s">
        <v>72</v>
      </c>
      <c r="F403" t="s">
        <v>19</v>
      </c>
      <c r="G403" t="s">
        <v>27</v>
      </c>
      <c r="H403">
        <v>38.770000000000003</v>
      </c>
      <c r="I403">
        <v>220.24</v>
      </c>
      <c r="J403">
        <v>5680.73</v>
      </c>
      <c r="K403" t="s">
        <v>34</v>
      </c>
      <c r="L403" t="s">
        <v>41</v>
      </c>
      <c r="M403">
        <v>136.97999999999999</v>
      </c>
      <c r="N403">
        <v>1017.14</v>
      </c>
      <c r="O403" t="s">
        <v>52</v>
      </c>
      <c r="P403">
        <v>33.950000000000003</v>
      </c>
    </row>
    <row r="404" spans="1:16" x14ac:dyDescent="0.25">
      <c r="A404" t="s">
        <v>469</v>
      </c>
      <c r="B404" s="1">
        <v>43745</v>
      </c>
      <c r="C404">
        <v>2019</v>
      </c>
      <c r="D404" t="s">
        <v>17</v>
      </c>
      <c r="E404" t="s">
        <v>54</v>
      </c>
      <c r="F404" t="s">
        <v>33</v>
      </c>
      <c r="G404" t="s">
        <v>39</v>
      </c>
      <c r="H404">
        <v>77.959999999999994</v>
      </c>
      <c r="I404">
        <v>256.87</v>
      </c>
      <c r="J404">
        <v>3294.92</v>
      </c>
      <c r="K404" t="s">
        <v>34</v>
      </c>
      <c r="L404" t="s">
        <v>41</v>
      </c>
      <c r="M404">
        <v>181.1</v>
      </c>
      <c r="N404">
        <v>519.32000000000005</v>
      </c>
      <c r="O404" t="s">
        <v>61</v>
      </c>
      <c r="P404">
        <v>22.24</v>
      </c>
    </row>
    <row r="405" spans="1:16" x14ac:dyDescent="0.25">
      <c r="A405" t="s">
        <v>470</v>
      </c>
      <c r="B405" s="1">
        <v>43943</v>
      </c>
      <c r="C405">
        <v>2020</v>
      </c>
      <c r="D405" t="s">
        <v>103</v>
      </c>
      <c r="E405" t="s">
        <v>104</v>
      </c>
      <c r="F405" t="s">
        <v>19</v>
      </c>
      <c r="G405" t="s">
        <v>46</v>
      </c>
      <c r="H405">
        <v>97.13</v>
      </c>
      <c r="I405">
        <v>535.87</v>
      </c>
      <c r="J405">
        <v>5517.04</v>
      </c>
      <c r="K405" t="s">
        <v>21</v>
      </c>
      <c r="L405" t="s">
        <v>22</v>
      </c>
      <c r="M405">
        <v>105.52</v>
      </c>
      <c r="N405">
        <v>489.78</v>
      </c>
      <c r="O405" t="s">
        <v>52</v>
      </c>
      <c r="P405">
        <v>22.22</v>
      </c>
    </row>
    <row r="406" spans="1:16" x14ac:dyDescent="0.25">
      <c r="A406" t="s">
        <v>471</v>
      </c>
      <c r="B406" s="1">
        <v>44398</v>
      </c>
      <c r="C406">
        <v>2021</v>
      </c>
      <c r="D406" t="s">
        <v>36</v>
      </c>
      <c r="E406" t="s">
        <v>77</v>
      </c>
      <c r="F406" t="s">
        <v>33</v>
      </c>
      <c r="G406" t="s">
        <v>27</v>
      </c>
      <c r="H406">
        <v>40.520000000000003</v>
      </c>
      <c r="I406">
        <v>61.2</v>
      </c>
      <c r="J406">
        <v>1510.47</v>
      </c>
      <c r="K406" t="s">
        <v>28</v>
      </c>
      <c r="L406" t="s">
        <v>29</v>
      </c>
      <c r="M406">
        <v>243.46</v>
      </c>
      <c r="N406">
        <v>330.38</v>
      </c>
      <c r="O406" t="s">
        <v>42</v>
      </c>
      <c r="P406">
        <v>27.21</v>
      </c>
    </row>
    <row r="407" spans="1:16" x14ac:dyDescent="0.25">
      <c r="A407" t="s">
        <v>472</v>
      </c>
      <c r="B407" s="1">
        <v>43764</v>
      </c>
      <c r="C407">
        <v>2019</v>
      </c>
      <c r="D407" t="s">
        <v>36</v>
      </c>
      <c r="E407" t="s">
        <v>77</v>
      </c>
      <c r="F407" t="s">
        <v>33</v>
      </c>
      <c r="G407" t="s">
        <v>27</v>
      </c>
      <c r="H407">
        <v>61.98</v>
      </c>
      <c r="I407">
        <v>335.56</v>
      </c>
      <c r="J407">
        <v>5414.01</v>
      </c>
      <c r="K407" t="s">
        <v>40</v>
      </c>
      <c r="L407" t="s">
        <v>22</v>
      </c>
      <c r="M407">
        <v>110.58</v>
      </c>
      <c r="N407">
        <v>466.26</v>
      </c>
      <c r="O407" t="s">
        <v>52</v>
      </c>
      <c r="P407">
        <v>24.85</v>
      </c>
    </row>
    <row r="408" spans="1:16" x14ac:dyDescent="0.25">
      <c r="A408" t="s">
        <v>473</v>
      </c>
      <c r="B408" s="1">
        <v>42788</v>
      </c>
      <c r="C408">
        <v>2016</v>
      </c>
      <c r="D408" t="s">
        <v>25</v>
      </c>
      <c r="E408" t="s">
        <v>69</v>
      </c>
      <c r="F408" t="s">
        <v>38</v>
      </c>
      <c r="G408" t="s">
        <v>20</v>
      </c>
      <c r="H408">
        <v>35.479999999999997</v>
      </c>
      <c r="I408">
        <v>103.76</v>
      </c>
      <c r="J408">
        <v>2924.43</v>
      </c>
      <c r="K408" t="s">
        <v>21</v>
      </c>
      <c r="L408" t="s">
        <v>47</v>
      </c>
      <c r="M408">
        <v>242.42</v>
      </c>
      <c r="N408">
        <v>369.26</v>
      </c>
      <c r="O408" t="s">
        <v>70</v>
      </c>
      <c r="P408">
        <v>29.24</v>
      </c>
    </row>
    <row r="409" spans="1:16" x14ac:dyDescent="0.25">
      <c r="A409" t="s">
        <v>474</v>
      </c>
      <c r="B409" s="1">
        <v>40403</v>
      </c>
      <c r="C409">
        <v>2010</v>
      </c>
      <c r="D409" t="s">
        <v>103</v>
      </c>
      <c r="E409" t="s">
        <v>107</v>
      </c>
      <c r="F409" t="s">
        <v>33</v>
      </c>
      <c r="G409" t="s">
        <v>56</v>
      </c>
      <c r="H409">
        <v>68.849999999999994</v>
      </c>
      <c r="I409">
        <v>133.29</v>
      </c>
      <c r="J409">
        <v>1935.95</v>
      </c>
      <c r="K409" t="s">
        <v>21</v>
      </c>
      <c r="L409" t="s">
        <v>22</v>
      </c>
      <c r="M409">
        <v>78.09</v>
      </c>
      <c r="N409">
        <v>254.54</v>
      </c>
      <c r="O409" t="s">
        <v>61</v>
      </c>
      <c r="P409">
        <v>33.9</v>
      </c>
    </row>
    <row r="410" spans="1:16" x14ac:dyDescent="0.25">
      <c r="A410" t="s">
        <v>475</v>
      </c>
      <c r="B410" s="1">
        <v>44779</v>
      </c>
      <c r="C410">
        <v>2022</v>
      </c>
      <c r="D410" t="s">
        <v>31</v>
      </c>
      <c r="E410" t="s">
        <v>117</v>
      </c>
      <c r="F410" t="s">
        <v>33</v>
      </c>
      <c r="G410" t="s">
        <v>20</v>
      </c>
      <c r="H410">
        <v>45.56</v>
      </c>
      <c r="I410">
        <v>51.78</v>
      </c>
      <c r="J410">
        <v>1136.49</v>
      </c>
      <c r="K410" t="s">
        <v>40</v>
      </c>
      <c r="L410" t="s">
        <v>47</v>
      </c>
      <c r="M410">
        <v>235</v>
      </c>
      <c r="N410">
        <v>411.88</v>
      </c>
      <c r="O410" t="s">
        <v>61</v>
      </c>
      <c r="P410">
        <v>27.85</v>
      </c>
    </row>
    <row r="411" spans="1:16" x14ac:dyDescent="0.25">
      <c r="A411" t="s">
        <v>476</v>
      </c>
      <c r="B411" s="1">
        <v>44417</v>
      </c>
      <c r="C411">
        <v>2021</v>
      </c>
      <c r="D411" t="s">
        <v>36</v>
      </c>
      <c r="E411" t="s">
        <v>77</v>
      </c>
      <c r="F411" t="s">
        <v>33</v>
      </c>
      <c r="G411" t="s">
        <v>39</v>
      </c>
      <c r="H411">
        <v>70.180000000000007</v>
      </c>
      <c r="I411">
        <v>77.92</v>
      </c>
      <c r="J411">
        <v>1110.33</v>
      </c>
      <c r="K411" t="s">
        <v>21</v>
      </c>
      <c r="L411" t="s">
        <v>22</v>
      </c>
      <c r="M411">
        <v>113.86</v>
      </c>
      <c r="N411">
        <v>260.11</v>
      </c>
      <c r="O411" t="s">
        <v>42</v>
      </c>
      <c r="P411">
        <v>31.84</v>
      </c>
    </row>
    <row r="412" spans="1:16" x14ac:dyDescent="0.25">
      <c r="A412" t="s">
        <v>477</v>
      </c>
      <c r="B412" s="1">
        <v>40427</v>
      </c>
      <c r="C412">
        <v>2010</v>
      </c>
      <c r="D412" t="s">
        <v>36</v>
      </c>
      <c r="E412" t="s">
        <v>77</v>
      </c>
      <c r="F412" t="s">
        <v>33</v>
      </c>
      <c r="G412" t="s">
        <v>46</v>
      </c>
      <c r="H412">
        <v>66.38</v>
      </c>
      <c r="I412">
        <v>330.43</v>
      </c>
      <c r="J412">
        <v>4977.8900000000003</v>
      </c>
      <c r="K412" t="s">
        <v>34</v>
      </c>
      <c r="L412" t="s">
        <v>47</v>
      </c>
      <c r="M412">
        <v>266.07</v>
      </c>
      <c r="N412">
        <v>219.08</v>
      </c>
      <c r="O412" t="s">
        <v>52</v>
      </c>
      <c r="P412">
        <v>23.47</v>
      </c>
    </row>
    <row r="413" spans="1:16" x14ac:dyDescent="0.25">
      <c r="A413" t="s">
        <v>478</v>
      </c>
      <c r="B413" s="1">
        <v>42444</v>
      </c>
      <c r="C413">
        <v>2015</v>
      </c>
      <c r="D413" t="s">
        <v>17</v>
      </c>
      <c r="E413" t="s">
        <v>18</v>
      </c>
      <c r="F413" t="s">
        <v>38</v>
      </c>
      <c r="G413" t="s">
        <v>27</v>
      </c>
      <c r="H413">
        <v>53.62</v>
      </c>
      <c r="I413">
        <v>113.59</v>
      </c>
      <c r="J413">
        <v>2118.5</v>
      </c>
      <c r="K413" t="s">
        <v>28</v>
      </c>
      <c r="L413" t="s">
        <v>49</v>
      </c>
      <c r="M413">
        <v>190.17</v>
      </c>
      <c r="N413">
        <v>912.47</v>
      </c>
      <c r="O413" t="s">
        <v>23</v>
      </c>
      <c r="P413">
        <v>23.71</v>
      </c>
    </row>
    <row r="414" spans="1:16" x14ac:dyDescent="0.25">
      <c r="A414" t="s">
        <v>479</v>
      </c>
      <c r="B414" s="1">
        <v>42464</v>
      </c>
      <c r="C414">
        <v>2016</v>
      </c>
      <c r="D414" t="s">
        <v>31</v>
      </c>
      <c r="E414" t="s">
        <v>32</v>
      </c>
      <c r="F414" t="s">
        <v>19</v>
      </c>
      <c r="G414" t="s">
        <v>56</v>
      </c>
      <c r="H414">
        <v>2.82</v>
      </c>
      <c r="I414">
        <v>14.4</v>
      </c>
      <c r="J414">
        <v>5105.87</v>
      </c>
      <c r="K414" t="s">
        <v>34</v>
      </c>
      <c r="L414" t="s">
        <v>49</v>
      </c>
      <c r="M414">
        <v>206.31</v>
      </c>
      <c r="N414">
        <v>436.2</v>
      </c>
      <c r="O414" t="s">
        <v>61</v>
      </c>
      <c r="P414">
        <v>24.14</v>
      </c>
    </row>
    <row r="415" spans="1:16" x14ac:dyDescent="0.25">
      <c r="A415" t="s">
        <v>480</v>
      </c>
      <c r="B415" s="1">
        <v>43463</v>
      </c>
      <c r="C415">
        <v>2018</v>
      </c>
      <c r="D415" t="s">
        <v>36</v>
      </c>
      <c r="E415" t="s">
        <v>37</v>
      </c>
      <c r="F415" t="s">
        <v>38</v>
      </c>
      <c r="G415" t="s">
        <v>56</v>
      </c>
      <c r="H415">
        <v>16.02</v>
      </c>
      <c r="I415">
        <v>102.26</v>
      </c>
      <c r="J415">
        <v>6383.05</v>
      </c>
      <c r="K415" t="s">
        <v>40</v>
      </c>
      <c r="L415" t="s">
        <v>29</v>
      </c>
      <c r="M415">
        <v>71.95</v>
      </c>
      <c r="N415">
        <v>582.21</v>
      </c>
      <c r="O415" t="s">
        <v>61</v>
      </c>
      <c r="P415">
        <v>33.090000000000003</v>
      </c>
    </row>
    <row r="416" spans="1:16" x14ac:dyDescent="0.25">
      <c r="A416" t="s">
        <v>481</v>
      </c>
      <c r="B416" s="1">
        <v>41265</v>
      </c>
      <c r="C416">
        <v>2012</v>
      </c>
      <c r="D416" t="s">
        <v>103</v>
      </c>
      <c r="E416" t="s">
        <v>228</v>
      </c>
      <c r="F416" t="s">
        <v>38</v>
      </c>
      <c r="G416" t="s">
        <v>20</v>
      </c>
      <c r="H416">
        <v>91.06</v>
      </c>
      <c r="I416">
        <v>270.97000000000003</v>
      </c>
      <c r="J416">
        <v>2975.71</v>
      </c>
      <c r="K416" t="s">
        <v>40</v>
      </c>
      <c r="L416" t="s">
        <v>41</v>
      </c>
      <c r="M416">
        <v>101.69</v>
      </c>
      <c r="N416">
        <v>338.58</v>
      </c>
      <c r="O416" t="s">
        <v>61</v>
      </c>
      <c r="P416">
        <v>30.26</v>
      </c>
    </row>
    <row r="417" spans="1:16" x14ac:dyDescent="0.25">
      <c r="A417" t="s">
        <v>482</v>
      </c>
      <c r="B417" s="1">
        <v>44322</v>
      </c>
      <c r="C417">
        <v>2021</v>
      </c>
      <c r="D417" t="s">
        <v>31</v>
      </c>
      <c r="E417" t="s">
        <v>117</v>
      </c>
      <c r="F417" t="s">
        <v>19</v>
      </c>
      <c r="G417" t="s">
        <v>56</v>
      </c>
      <c r="H417">
        <v>43.58</v>
      </c>
      <c r="I417">
        <v>281.27</v>
      </c>
      <c r="J417">
        <v>6454.01</v>
      </c>
      <c r="K417" t="s">
        <v>40</v>
      </c>
      <c r="L417" t="s">
        <v>47</v>
      </c>
      <c r="M417">
        <v>214.06</v>
      </c>
      <c r="N417">
        <v>764.84</v>
      </c>
      <c r="O417" t="s">
        <v>42</v>
      </c>
      <c r="P417">
        <v>24.76</v>
      </c>
    </row>
    <row r="418" spans="1:16" x14ac:dyDescent="0.25">
      <c r="A418" t="s">
        <v>483</v>
      </c>
      <c r="B418" s="1">
        <v>41262</v>
      </c>
      <c r="C418">
        <v>2012</v>
      </c>
      <c r="D418" t="s">
        <v>17</v>
      </c>
      <c r="E418" t="s">
        <v>18</v>
      </c>
      <c r="F418" t="s">
        <v>38</v>
      </c>
      <c r="G418" t="s">
        <v>56</v>
      </c>
      <c r="H418">
        <v>72.98</v>
      </c>
      <c r="I418">
        <v>408.15</v>
      </c>
      <c r="J418">
        <v>5592.61</v>
      </c>
      <c r="K418" t="s">
        <v>28</v>
      </c>
      <c r="L418" t="s">
        <v>22</v>
      </c>
      <c r="M418">
        <v>290.3</v>
      </c>
      <c r="N418">
        <v>503.35</v>
      </c>
      <c r="O418" t="s">
        <v>70</v>
      </c>
      <c r="P418">
        <v>22.28</v>
      </c>
    </row>
    <row r="419" spans="1:16" x14ac:dyDescent="0.25">
      <c r="A419" t="s">
        <v>484</v>
      </c>
      <c r="B419" s="1">
        <v>40313</v>
      </c>
      <c r="C419">
        <v>2010</v>
      </c>
      <c r="D419" t="s">
        <v>103</v>
      </c>
      <c r="E419" t="s">
        <v>104</v>
      </c>
      <c r="F419" t="s">
        <v>19</v>
      </c>
      <c r="G419" t="s">
        <v>27</v>
      </c>
      <c r="H419">
        <v>27.42</v>
      </c>
      <c r="I419">
        <v>120.71</v>
      </c>
      <c r="J419">
        <v>4402.26</v>
      </c>
      <c r="K419" t="s">
        <v>40</v>
      </c>
      <c r="L419" t="s">
        <v>29</v>
      </c>
      <c r="M419">
        <v>199.09</v>
      </c>
      <c r="N419">
        <v>430.91</v>
      </c>
      <c r="O419" t="s">
        <v>23</v>
      </c>
      <c r="P419">
        <v>25.39</v>
      </c>
    </row>
    <row r="420" spans="1:16" x14ac:dyDescent="0.25">
      <c r="A420" t="s">
        <v>485</v>
      </c>
      <c r="B420" s="1">
        <v>43874</v>
      </c>
      <c r="C420">
        <v>2019</v>
      </c>
      <c r="D420" t="s">
        <v>103</v>
      </c>
      <c r="E420" t="s">
        <v>228</v>
      </c>
      <c r="F420" t="s">
        <v>38</v>
      </c>
      <c r="G420" t="s">
        <v>39</v>
      </c>
      <c r="H420">
        <v>65.31</v>
      </c>
      <c r="I420">
        <v>137.4</v>
      </c>
      <c r="J420">
        <v>2103.86</v>
      </c>
      <c r="K420" t="s">
        <v>28</v>
      </c>
      <c r="L420" t="s">
        <v>22</v>
      </c>
      <c r="M420">
        <v>172.86</v>
      </c>
      <c r="N420">
        <v>337.51</v>
      </c>
      <c r="O420" t="s">
        <v>42</v>
      </c>
      <c r="P420">
        <v>23.39</v>
      </c>
    </row>
    <row r="421" spans="1:16" x14ac:dyDescent="0.25">
      <c r="A421" t="s">
        <v>486</v>
      </c>
      <c r="B421" s="1">
        <v>41396</v>
      </c>
      <c r="C421">
        <v>2013</v>
      </c>
      <c r="D421" t="s">
        <v>31</v>
      </c>
      <c r="E421" t="s">
        <v>32</v>
      </c>
      <c r="F421" t="s">
        <v>19</v>
      </c>
      <c r="G421" t="s">
        <v>39</v>
      </c>
      <c r="H421">
        <v>98.84</v>
      </c>
      <c r="I421">
        <v>548.23</v>
      </c>
      <c r="J421">
        <v>5546.66</v>
      </c>
      <c r="K421" t="s">
        <v>21</v>
      </c>
      <c r="L421" t="s">
        <v>49</v>
      </c>
      <c r="M421">
        <v>94.27</v>
      </c>
      <c r="N421">
        <v>1154.7</v>
      </c>
      <c r="O421" t="s">
        <v>52</v>
      </c>
      <c r="P421">
        <v>33.01</v>
      </c>
    </row>
    <row r="422" spans="1:16" x14ac:dyDescent="0.25">
      <c r="A422" t="s">
        <v>487</v>
      </c>
      <c r="B422" s="1">
        <v>41713</v>
      </c>
      <c r="C422">
        <v>2013</v>
      </c>
      <c r="D422" t="s">
        <v>44</v>
      </c>
      <c r="E422" t="s">
        <v>99</v>
      </c>
      <c r="F422" t="s">
        <v>38</v>
      </c>
      <c r="G422" t="s">
        <v>46</v>
      </c>
      <c r="H422">
        <v>77.849999999999994</v>
      </c>
      <c r="I422">
        <v>361.81</v>
      </c>
      <c r="J422">
        <v>4647.58</v>
      </c>
      <c r="K422" t="s">
        <v>28</v>
      </c>
      <c r="L422" t="s">
        <v>22</v>
      </c>
      <c r="M422">
        <v>230.05</v>
      </c>
      <c r="N422">
        <v>594.15</v>
      </c>
      <c r="O422" t="s">
        <v>61</v>
      </c>
      <c r="P422">
        <v>28.91</v>
      </c>
    </row>
    <row r="423" spans="1:16" x14ac:dyDescent="0.25">
      <c r="A423" t="s">
        <v>488</v>
      </c>
      <c r="B423" s="1">
        <v>43052</v>
      </c>
      <c r="C423">
        <v>2017</v>
      </c>
      <c r="D423" t="s">
        <v>59</v>
      </c>
      <c r="E423" t="s">
        <v>60</v>
      </c>
      <c r="F423" t="s">
        <v>38</v>
      </c>
      <c r="G423" t="s">
        <v>64</v>
      </c>
      <c r="H423">
        <v>87.9</v>
      </c>
      <c r="I423">
        <v>217.49</v>
      </c>
      <c r="J423">
        <v>2474.33</v>
      </c>
      <c r="K423" t="s">
        <v>28</v>
      </c>
      <c r="L423" t="s">
        <v>41</v>
      </c>
      <c r="M423">
        <v>295.95999999999998</v>
      </c>
      <c r="N423">
        <v>239.25</v>
      </c>
      <c r="O423" t="s">
        <v>52</v>
      </c>
      <c r="P423">
        <v>27.74</v>
      </c>
    </row>
    <row r="424" spans="1:16" x14ac:dyDescent="0.25">
      <c r="A424" t="s">
        <v>489</v>
      </c>
      <c r="B424" s="1">
        <v>42790</v>
      </c>
      <c r="C424">
        <v>2016</v>
      </c>
      <c r="D424" t="s">
        <v>31</v>
      </c>
      <c r="E424" t="s">
        <v>32</v>
      </c>
      <c r="F424" t="s">
        <v>38</v>
      </c>
      <c r="G424" t="s">
        <v>20</v>
      </c>
      <c r="H424">
        <v>46.67</v>
      </c>
      <c r="I424">
        <v>164.97</v>
      </c>
      <c r="J424">
        <v>3534.77</v>
      </c>
      <c r="K424" t="s">
        <v>21</v>
      </c>
      <c r="L424" t="s">
        <v>22</v>
      </c>
      <c r="M424">
        <v>222.49</v>
      </c>
      <c r="N424">
        <v>1103.68</v>
      </c>
      <c r="O424" t="s">
        <v>52</v>
      </c>
      <c r="P424">
        <v>32.450000000000003</v>
      </c>
    </row>
    <row r="425" spans="1:16" x14ac:dyDescent="0.25">
      <c r="A425" t="s">
        <v>490</v>
      </c>
      <c r="B425" s="1">
        <v>40846</v>
      </c>
      <c r="C425">
        <v>2011</v>
      </c>
      <c r="D425" t="s">
        <v>17</v>
      </c>
      <c r="E425" t="s">
        <v>54</v>
      </c>
      <c r="F425" t="s">
        <v>33</v>
      </c>
      <c r="G425" t="s">
        <v>27</v>
      </c>
      <c r="H425">
        <v>93.85</v>
      </c>
      <c r="I425">
        <v>485.83</v>
      </c>
      <c r="J425">
        <v>5176.68</v>
      </c>
      <c r="K425" t="s">
        <v>40</v>
      </c>
      <c r="L425" t="s">
        <v>41</v>
      </c>
      <c r="M425">
        <v>148.27000000000001</v>
      </c>
      <c r="N425">
        <v>523.46</v>
      </c>
      <c r="O425" t="s">
        <v>23</v>
      </c>
      <c r="P425">
        <v>22.68</v>
      </c>
    </row>
    <row r="426" spans="1:16" x14ac:dyDescent="0.25">
      <c r="A426" t="s">
        <v>491</v>
      </c>
      <c r="B426" s="1">
        <v>42036</v>
      </c>
      <c r="C426">
        <v>2014</v>
      </c>
      <c r="D426" t="s">
        <v>36</v>
      </c>
      <c r="E426" t="s">
        <v>37</v>
      </c>
      <c r="F426" t="s">
        <v>38</v>
      </c>
      <c r="G426" t="s">
        <v>39</v>
      </c>
      <c r="H426">
        <v>65.209999999999994</v>
      </c>
      <c r="I426">
        <v>343.58</v>
      </c>
      <c r="J426">
        <v>5268.82</v>
      </c>
      <c r="K426" t="s">
        <v>40</v>
      </c>
      <c r="L426" t="s">
        <v>22</v>
      </c>
      <c r="M426">
        <v>229.59</v>
      </c>
      <c r="N426">
        <v>323.54000000000002</v>
      </c>
      <c r="O426" t="s">
        <v>23</v>
      </c>
      <c r="P426">
        <v>30.59</v>
      </c>
    </row>
    <row r="427" spans="1:16" x14ac:dyDescent="0.25">
      <c r="A427" t="s">
        <v>492</v>
      </c>
      <c r="B427" s="1">
        <v>42503</v>
      </c>
      <c r="C427">
        <v>2016</v>
      </c>
      <c r="D427" t="s">
        <v>59</v>
      </c>
      <c r="E427" t="s">
        <v>93</v>
      </c>
      <c r="F427" t="s">
        <v>19</v>
      </c>
      <c r="G427" t="s">
        <v>27</v>
      </c>
      <c r="H427">
        <v>61.6</v>
      </c>
      <c r="I427">
        <v>120.7</v>
      </c>
      <c r="J427">
        <v>1959.4</v>
      </c>
      <c r="K427" t="s">
        <v>28</v>
      </c>
      <c r="L427" t="s">
        <v>41</v>
      </c>
      <c r="M427">
        <v>60.98</v>
      </c>
      <c r="N427">
        <v>370.88</v>
      </c>
      <c r="O427" t="s">
        <v>70</v>
      </c>
      <c r="P427">
        <v>28.48</v>
      </c>
    </row>
    <row r="428" spans="1:16" x14ac:dyDescent="0.25">
      <c r="A428" t="s">
        <v>493</v>
      </c>
      <c r="B428" s="1">
        <v>41000</v>
      </c>
      <c r="C428">
        <v>2012</v>
      </c>
      <c r="D428" t="s">
        <v>103</v>
      </c>
      <c r="E428" t="s">
        <v>104</v>
      </c>
      <c r="F428" t="s">
        <v>19</v>
      </c>
      <c r="G428" t="s">
        <v>64</v>
      </c>
      <c r="H428">
        <v>42.54</v>
      </c>
      <c r="I428">
        <v>121.54</v>
      </c>
      <c r="J428">
        <v>2857.11</v>
      </c>
      <c r="K428" t="s">
        <v>28</v>
      </c>
      <c r="L428" t="s">
        <v>47</v>
      </c>
      <c r="M428">
        <v>122.2</v>
      </c>
      <c r="N428">
        <v>380.7</v>
      </c>
      <c r="O428" t="s">
        <v>42</v>
      </c>
      <c r="P428">
        <v>34.409999999999997</v>
      </c>
    </row>
    <row r="429" spans="1:16" x14ac:dyDescent="0.25">
      <c r="A429" t="s">
        <v>494</v>
      </c>
      <c r="B429" s="1">
        <v>40604</v>
      </c>
      <c r="C429">
        <v>2010</v>
      </c>
      <c r="D429" t="s">
        <v>44</v>
      </c>
      <c r="E429" t="s">
        <v>99</v>
      </c>
      <c r="F429" t="s">
        <v>38</v>
      </c>
      <c r="G429" t="s">
        <v>46</v>
      </c>
      <c r="H429">
        <v>85.69</v>
      </c>
      <c r="I429">
        <v>365.13</v>
      </c>
      <c r="J429">
        <v>4261.01</v>
      </c>
      <c r="K429" t="s">
        <v>21</v>
      </c>
      <c r="L429" t="s">
        <v>29</v>
      </c>
      <c r="M429">
        <v>202</v>
      </c>
      <c r="N429">
        <v>693.47</v>
      </c>
      <c r="O429" t="s">
        <v>42</v>
      </c>
      <c r="P429">
        <v>28.83</v>
      </c>
    </row>
    <row r="430" spans="1:16" x14ac:dyDescent="0.25">
      <c r="A430" t="s">
        <v>495</v>
      </c>
      <c r="B430" s="1">
        <v>40643</v>
      </c>
      <c r="C430">
        <v>2011</v>
      </c>
      <c r="D430" t="s">
        <v>36</v>
      </c>
      <c r="E430" t="s">
        <v>51</v>
      </c>
      <c r="F430" t="s">
        <v>19</v>
      </c>
      <c r="G430" t="s">
        <v>27</v>
      </c>
      <c r="H430">
        <v>1.65</v>
      </c>
      <c r="I430">
        <v>10.38</v>
      </c>
      <c r="J430">
        <v>6293.01</v>
      </c>
      <c r="K430" t="s">
        <v>34</v>
      </c>
      <c r="L430" t="s">
        <v>22</v>
      </c>
      <c r="M430">
        <v>204.94</v>
      </c>
      <c r="N430">
        <v>757.55</v>
      </c>
      <c r="O430" t="s">
        <v>42</v>
      </c>
      <c r="P430">
        <v>20.73</v>
      </c>
    </row>
    <row r="431" spans="1:16" x14ac:dyDescent="0.25">
      <c r="A431" t="s">
        <v>496</v>
      </c>
      <c r="B431" s="1">
        <v>40375</v>
      </c>
      <c r="C431">
        <v>2010</v>
      </c>
      <c r="D431" t="s">
        <v>17</v>
      </c>
      <c r="E431" t="s">
        <v>72</v>
      </c>
      <c r="F431" t="s">
        <v>33</v>
      </c>
      <c r="G431" t="s">
        <v>64</v>
      </c>
      <c r="H431">
        <v>67.03</v>
      </c>
      <c r="I431">
        <v>404.06</v>
      </c>
      <c r="J431">
        <v>6028.09</v>
      </c>
      <c r="K431" t="s">
        <v>34</v>
      </c>
      <c r="L431" t="s">
        <v>41</v>
      </c>
      <c r="M431">
        <v>132.78</v>
      </c>
      <c r="N431">
        <v>287.7</v>
      </c>
      <c r="O431" t="s">
        <v>23</v>
      </c>
      <c r="P431">
        <v>26.25</v>
      </c>
    </row>
    <row r="432" spans="1:16" x14ac:dyDescent="0.25">
      <c r="A432" t="s">
        <v>497</v>
      </c>
      <c r="B432" s="1">
        <v>43561</v>
      </c>
      <c r="C432">
        <v>2019</v>
      </c>
      <c r="D432" t="s">
        <v>17</v>
      </c>
      <c r="E432" t="s">
        <v>72</v>
      </c>
      <c r="F432" t="s">
        <v>19</v>
      </c>
      <c r="G432" t="s">
        <v>39</v>
      </c>
      <c r="H432">
        <v>70.28</v>
      </c>
      <c r="I432">
        <v>311.60000000000002</v>
      </c>
      <c r="J432">
        <v>4433.7</v>
      </c>
      <c r="K432" t="s">
        <v>40</v>
      </c>
      <c r="L432" t="s">
        <v>49</v>
      </c>
      <c r="M432">
        <v>291.57</v>
      </c>
      <c r="N432">
        <v>949.33</v>
      </c>
      <c r="O432" t="s">
        <v>70</v>
      </c>
      <c r="P432">
        <v>33.97</v>
      </c>
    </row>
    <row r="433" spans="1:16" x14ac:dyDescent="0.25">
      <c r="A433" t="s">
        <v>498</v>
      </c>
      <c r="B433" s="1">
        <v>42627</v>
      </c>
      <c r="C433">
        <v>2016</v>
      </c>
      <c r="D433" t="s">
        <v>31</v>
      </c>
      <c r="E433" t="s">
        <v>32</v>
      </c>
      <c r="F433" t="s">
        <v>33</v>
      </c>
      <c r="G433" t="s">
        <v>46</v>
      </c>
      <c r="H433">
        <v>84.49</v>
      </c>
      <c r="I433">
        <v>117.4</v>
      </c>
      <c r="J433">
        <v>1389.56</v>
      </c>
      <c r="K433" t="s">
        <v>28</v>
      </c>
      <c r="L433" t="s">
        <v>47</v>
      </c>
      <c r="M433">
        <v>83.64</v>
      </c>
      <c r="N433">
        <v>894.62</v>
      </c>
      <c r="O433" t="s">
        <v>70</v>
      </c>
      <c r="P433">
        <v>24.94</v>
      </c>
    </row>
    <row r="434" spans="1:16" x14ac:dyDescent="0.25">
      <c r="A434" t="s">
        <v>499</v>
      </c>
      <c r="B434" s="1">
        <v>41419</v>
      </c>
      <c r="C434">
        <v>2013</v>
      </c>
      <c r="D434" t="s">
        <v>103</v>
      </c>
      <c r="E434" t="s">
        <v>228</v>
      </c>
      <c r="F434" t="s">
        <v>19</v>
      </c>
      <c r="G434" t="s">
        <v>64</v>
      </c>
      <c r="H434">
        <v>11.82</v>
      </c>
      <c r="I434">
        <v>63.57</v>
      </c>
      <c r="J434">
        <v>5378.37</v>
      </c>
      <c r="K434" t="s">
        <v>21</v>
      </c>
      <c r="L434" t="s">
        <v>49</v>
      </c>
      <c r="M434">
        <v>170.92</v>
      </c>
      <c r="N434">
        <v>888.65</v>
      </c>
      <c r="O434" t="s">
        <v>70</v>
      </c>
      <c r="P434">
        <v>26.41</v>
      </c>
    </row>
    <row r="435" spans="1:16" x14ac:dyDescent="0.25">
      <c r="A435" t="s">
        <v>500</v>
      </c>
      <c r="B435" s="1">
        <v>43612</v>
      </c>
      <c r="C435">
        <v>2019</v>
      </c>
      <c r="D435" t="s">
        <v>31</v>
      </c>
      <c r="E435" t="s">
        <v>117</v>
      </c>
      <c r="F435" t="s">
        <v>19</v>
      </c>
      <c r="G435" t="s">
        <v>20</v>
      </c>
      <c r="H435">
        <v>92.78</v>
      </c>
      <c r="I435">
        <v>434.74</v>
      </c>
      <c r="J435">
        <v>4685.74</v>
      </c>
      <c r="K435" t="s">
        <v>28</v>
      </c>
      <c r="L435" t="s">
        <v>47</v>
      </c>
      <c r="M435">
        <v>179.93</v>
      </c>
      <c r="N435">
        <v>831.86</v>
      </c>
      <c r="O435" t="s">
        <v>52</v>
      </c>
      <c r="P435">
        <v>32.119999999999997</v>
      </c>
    </row>
    <row r="436" spans="1:16" x14ac:dyDescent="0.25">
      <c r="A436" t="s">
        <v>501</v>
      </c>
      <c r="B436" s="1">
        <v>41896</v>
      </c>
      <c r="C436">
        <v>2014</v>
      </c>
      <c r="D436" t="s">
        <v>103</v>
      </c>
      <c r="E436" t="s">
        <v>228</v>
      </c>
      <c r="F436" t="s">
        <v>33</v>
      </c>
      <c r="G436" t="s">
        <v>64</v>
      </c>
      <c r="H436">
        <v>12.7</v>
      </c>
      <c r="I436">
        <v>48.12</v>
      </c>
      <c r="J436">
        <v>3789.31</v>
      </c>
      <c r="K436" t="s">
        <v>21</v>
      </c>
      <c r="L436" t="s">
        <v>22</v>
      </c>
      <c r="M436">
        <v>234.37</v>
      </c>
      <c r="N436">
        <v>407.33</v>
      </c>
      <c r="O436" t="s">
        <v>61</v>
      </c>
      <c r="P436">
        <v>34.979999999999997</v>
      </c>
    </row>
    <row r="437" spans="1:16" x14ac:dyDescent="0.25">
      <c r="A437" t="s">
        <v>502</v>
      </c>
      <c r="B437" s="1">
        <v>43211</v>
      </c>
      <c r="C437">
        <v>2018</v>
      </c>
      <c r="D437" t="s">
        <v>31</v>
      </c>
      <c r="E437" t="s">
        <v>32</v>
      </c>
      <c r="F437" t="s">
        <v>19</v>
      </c>
      <c r="G437" t="s">
        <v>56</v>
      </c>
      <c r="H437">
        <v>2.12</v>
      </c>
      <c r="I437">
        <v>4.68</v>
      </c>
      <c r="J437">
        <v>2207.12</v>
      </c>
      <c r="K437" t="s">
        <v>34</v>
      </c>
      <c r="L437" t="s">
        <v>22</v>
      </c>
      <c r="M437">
        <v>113.6</v>
      </c>
      <c r="N437">
        <v>267.83999999999997</v>
      </c>
      <c r="O437" t="s">
        <v>70</v>
      </c>
      <c r="P437">
        <v>27.6</v>
      </c>
    </row>
    <row r="438" spans="1:16" x14ac:dyDescent="0.25">
      <c r="A438" t="s">
        <v>503</v>
      </c>
      <c r="B438" s="1">
        <v>42431</v>
      </c>
      <c r="C438">
        <v>2015</v>
      </c>
      <c r="D438" t="s">
        <v>25</v>
      </c>
      <c r="E438" t="s">
        <v>69</v>
      </c>
      <c r="F438" t="s">
        <v>38</v>
      </c>
      <c r="G438" t="s">
        <v>46</v>
      </c>
      <c r="H438">
        <v>72.72</v>
      </c>
      <c r="I438">
        <v>341.49</v>
      </c>
      <c r="J438">
        <v>4695.96</v>
      </c>
      <c r="K438" t="s">
        <v>21</v>
      </c>
      <c r="L438" t="s">
        <v>29</v>
      </c>
      <c r="M438">
        <v>258.01</v>
      </c>
      <c r="N438">
        <v>394.02</v>
      </c>
      <c r="O438" t="s">
        <v>70</v>
      </c>
      <c r="P438">
        <v>33.83</v>
      </c>
    </row>
    <row r="439" spans="1:16" x14ac:dyDescent="0.25">
      <c r="A439" t="s">
        <v>504</v>
      </c>
      <c r="B439" s="1">
        <v>44059</v>
      </c>
      <c r="C439">
        <v>2020</v>
      </c>
      <c r="D439" t="s">
        <v>44</v>
      </c>
      <c r="E439" t="s">
        <v>45</v>
      </c>
      <c r="F439" t="s">
        <v>33</v>
      </c>
      <c r="G439" t="s">
        <v>46</v>
      </c>
      <c r="H439">
        <v>16.38</v>
      </c>
      <c r="I439">
        <v>61.65</v>
      </c>
      <c r="J439">
        <v>3763.71</v>
      </c>
      <c r="K439" t="s">
        <v>34</v>
      </c>
      <c r="L439" t="s">
        <v>47</v>
      </c>
      <c r="M439">
        <v>165.62</v>
      </c>
      <c r="N439">
        <v>1014.17</v>
      </c>
      <c r="O439" t="s">
        <v>23</v>
      </c>
      <c r="P439">
        <v>32.53</v>
      </c>
    </row>
    <row r="440" spans="1:16" x14ac:dyDescent="0.25">
      <c r="A440" t="s">
        <v>505</v>
      </c>
      <c r="B440" s="1">
        <v>42104</v>
      </c>
      <c r="C440">
        <v>2015</v>
      </c>
      <c r="D440" t="s">
        <v>17</v>
      </c>
      <c r="E440" t="s">
        <v>54</v>
      </c>
      <c r="F440" t="s">
        <v>19</v>
      </c>
      <c r="G440" t="s">
        <v>27</v>
      </c>
      <c r="H440">
        <v>2.85</v>
      </c>
      <c r="I440">
        <v>12.72</v>
      </c>
      <c r="J440">
        <v>4464.3900000000003</v>
      </c>
      <c r="K440" t="s">
        <v>34</v>
      </c>
      <c r="L440" t="s">
        <v>49</v>
      </c>
      <c r="M440">
        <v>249.88</v>
      </c>
      <c r="N440">
        <v>1088.03</v>
      </c>
      <c r="O440" t="s">
        <v>70</v>
      </c>
      <c r="P440">
        <v>20.99</v>
      </c>
    </row>
    <row r="441" spans="1:16" x14ac:dyDescent="0.25">
      <c r="A441" t="s">
        <v>506</v>
      </c>
      <c r="B441" s="1">
        <v>42389</v>
      </c>
      <c r="C441">
        <v>2015</v>
      </c>
      <c r="D441" t="s">
        <v>44</v>
      </c>
      <c r="E441" t="s">
        <v>45</v>
      </c>
      <c r="F441" t="s">
        <v>38</v>
      </c>
      <c r="G441" t="s">
        <v>39</v>
      </c>
      <c r="H441">
        <v>53.89</v>
      </c>
      <c r="I441">
        <v>107.55</v>
      </c>
      <c r="J441">
        <v>1995.82</v>
      </c>
      <c r="K441" t="s">
        <v>28</v>
      </c>
      <c r="L441" t="s">
        <v>22</v>
      </c>
      <c r="M441">
        <v>96.84</v>
      </c>
      <c r="N441">
        <v>316.83999999999997</v>
      </c>
      <c r="O441" t="s">
        <v>70</v>
      </c>
      <c r="P441">
        <v>30.58</v>
      </c>
    </row>
    <row r="442" spans="1:16" x14ac:dyDescent="0.25">
      <c r="A442" t="s">
        <v>507</v>
      </c>
      <c r="B442" s="1">
        <v>40857</v>
      </c>
      <c r="C442">
        <v>2011</v>
      </c>
      <c r="D442" t="s">
        <v>31</v>
      </c>
      <c r="E442" t="s">
        <v>32</v>
      </c>
      <c r="F442" t="s">
        <v>38</v>
      </c>
      <c r="G442" t="s">
        <v>56</v>
      </c>
      <c r="H442">
        <v>37.79</v>
      </c>
      <c r="I442">
        <v>225.86</v>
      </c>
      <c r="J442">
        <v>5976.74</v>
      </c>
      <c r="K442" t="s">
        <v>34</v>
      </c>
      <c r="L442" t="s">
        <v>41</v>
      </c>
      <c r="M442">
        <v>104.03</v>
      </c>
      <c r="N442">
        <v>502.32</v>
      </c>
      <c r="O442" t="s">
        <v>23</v>
      </c>
      <c r="P442">
        <v>25.61</v>
      </c>
    </row>
    <row r="443" spans="1:16" x14ac:dyDescent="0.25">
      <c r="A443" t="s">
        <v>508</v>
      </c>
      <c r="B443" s="1">
        <v>43335</v>
      </c>
      <c r="C443">
        <v>2018</v>
      </c>
      <c r="D443" t="s">
        <v>25</v>
      </c>
      <c r="E443" t="s">
        <v>87</v>
      </c>
      <c r="F443" t="s">
        <v>33</v>
      </c>
      <c r="G443" t="s">
        <v>46</v>
      </c>
      <c r="H443">
        <v>90.59</v>
      </c>
      <c r="I443">
        <v>174.34</v>
      </c>
      <c r="J443">
        <v>1924.47</v>
      </c>
      <c r="K443" t="s">
        <v>34</v>
      </c>
      <c r="L443" t="s">
        <v>41</v>
      </c>
      <c r="M443">
        <v>280.91000000000003</v>
      </c>
      <c r="N443">
        <v>932.44</v>
      </c>
      <c r="O443" t="s">
        <v>61</v>
      </c>
      <c r="P443">
        <v>24.66</v>
      </c>
    </row>
    <row r="444" spans="1:16" x14ac:dyDescent="0.25">
      <c r="A444" t="s">
        <v>509</v>
      </c>
      <c r="B444" s="1">
        <v>43193</v>
      </c>
      <c r="C444">
        <v>2018</v>
      </c>
      <c r="D444" t="s">
        <v>44</v>
      </c>
      <c r="E444" t="s">
        <v>45</v>
      </c>
      <c r="F444" t="s">
        <v>19</v>
      </c>
      <c r="G444" t="s">
        <v>56</v>
      </c>
      <c r="H444">
        <v>21.31</v>
      </c>
      <c r="I444">
        <v>25.98</v>
      </c>
      <c r="J444">
        <v>1219.32</v>
      </c>
      <c r="K444" t="s">
        <v>28</v>
      </c>
      <c r="L444" t="s">
        <v>47</v>
      </c>
      <c r="M444">
        <v>228.42</v>
      </c>
      <c r="N444">
        <v>722.34</v>
      </c>
      <c r="O444" t="s">
        <v>23</v>
      </c>
      <c r="P444">
        <v>24.66</v>
      </c>
    </row>
    <row r="445" spans="1:16" x14ac:dyDescent="0.25">
      <c r="A445" t="s">
        <v>510</v>
      </c>
      <c r="B445" s="1">
        <v>42358</v>
      </c>
      <c r="C445">
        <v>2015</v>
      </c>
      <c r="D445" t="s">
        <v>44</v>
      </c>
      <c r="E445" t="s">
        <v>45</v>
      </c>
      <c r="F445" t="s">
        <v>38</v>
      </c>
      <c r="G445" t="s">
        <v>64</v>
      </c>
      <c r="H445">
        <v>11.21</v>
      </c>
      <c r="I445">
        <v>62.74</v>
      </c>
      <c r="J445">
        <v>5597.08</v>
      </c>
      <c r="K445" t="s">
        <v>34</v>
      </c>
      <c r="L445" t="s">
        <v>49</v>
      </c>
      <c r="M445">
        <v>55.62</v>
      </c>
      <c r="N445">
        <v>958.49</v>
      </c>
      <c r="O445" t="s">
        <v>42</v>
      </c>
      <c r="P445">
        <v>24.81</v>
      </c>
    </row>
    <row r="446" spans="1:16" x14ac:dyDescent="0.25">
      <c r="A446" t="s">
        <v>511</v>
      </c>
      <c r="B446" s="1">
        <v>42361</v>
      </c>
      <c r="C446">
        <v>2015</v>
      </c>
      <c r="D446" t="s">
        <v>31</v>
      </c>
      <c r="E446" t="s">
        <v>117</v>
      </c>
      <c r="F446" t="s">
        <v>38</v>
      </c>
      <c r="G446" t="s">
        <v>39</v>
      </c>
      <c r="H446">
        <v>12.65</v>
      </c>
      <c r="I446">
        <v>23.98</v>
      </c>
      <c r="J446">
        <v>1895.92</v>
      </c>
      <c r="K446" t="s">
        <v>34</v>
      </c>
      <c r="L446" t="s">
        <v>47</v>
      </c>
      <c r="M446">
        <v>78.62</v>
      </c>
      <c r="N446">
        <v>1158.3</v>
      </c>
      <c r="O446" t="s">
        <v>61</v>
      </c>
      <c r="P446">
        <v>27.71</v>
      </c>
    </row>
    <row r="447" spans="1:16" x14ac:dyDescent="0.25">
      <c r="A447" t="s">
        <v>512</v>
      </c>
      <c r="B447" s="1">
        <v>42321</v>
      </c>
      <c r="C447">
        <v>2015</v>
      </c>
      <c r="D447" t="s">
        <v>31</v>
      </c>
      <c r="E447" t="s">
        <v>117</v>
      </c>
      <c r="F447" t="s">
        <v>38</v>
      </c>
      <c r="G447" t="s">
        <v>56</v>
      </c>
      <c r="H447">
        <v>94.38</v>
      </c>
      <c r="I447">
        <v>549.66999999999996</v>
      </c>
      <c r="J447">
        <v>5824.02</v>
      </c>
      <c r="K447" t="s">
        <v>40</v>
      </c>
      <c r="L447" t="s">
        <v>41</v>
      </c>
      <c r="M447">
        <v>92.82</v>
      </c>
      <c r="N447">
        <v>511.38</v>
      </c>
      <c r="O447" t="s">
        <v>70</v>
      </c>
      <c r="P447">
        <v>28.11</v>
      </c>
    </row>
    <row r="448" spans="1:16" x14ac:dyDescent="0.25">
      <c r="A448" t="s">
        <v>513</v>
      </c>
      <c r="B448" s="1">
        <v>44097</v>
      </c>
      <c r="C448">
        <v>2020</v>
      </c>
      <c r="D448" t="s">
        <v>25</v>
      </c>
      <c r="E448" t="s">
        <v>87</v>
      </c>
      <c r="F448" t="s">
        <v>33</v>
      </c>
      <c r="G448" t="s">
        <v>64</v>
      </c>
      <c r="H448">
        <v>38.979999999999997</v>
      </c>
      <c r="I448">
        <v>59.12</v>
      </c>
      <c r="J448">
        <v>1516.72</v>
      </c>
      <c r="K448" t="s">
        <v>28</v>
      </c>
      <c r="L448" t="s">
        <v>47</v>
      </c>
      <c r="M448">
        <v>94.75</v>
      </c>
      <c r="N448">
        <v>796.12</v>
      </c>
      <c r="O448" t="s">
        <v>61</v>
      </c>
      <c r="P448">
        <v>29.44</v>
      </c>
    </row>
    <row r="449" spans="1:16" x14ac:dyDescent="0.25">
      <c r="A449" t="s">
        <v>514</v>
      </c>
      <c r="B449" s="1">
        <v>42179</v>
      </c>
      <c r="C449">
        <v>2015</v>
      </c>
      <c r="D449" t="s">
        <v>31</v>
      </c>
      <c r="E449" t="s">
        <v>32</v>
      </c>
      <c r="F449" t="s">
        <v>33</v>
      </c>
      <c r="G449" t="s">
        <v>39</v>
      </c>
      <c r="H449">
        <v>76.08</v>
      </c>
      <c r="I449">
        <v>445.51</v>
      </c>
      <c r="J449">
        <v>5855.8</v>
      </c>
      <c r="K449" t="s">
        <v>21</v>
      </c>
      <c r="L449" t="s">
        <v>29</v>
      </c>
      <c r="M449">
        <v>293.42</v>
      </c>
      <c r="N449">
        <v>955.74</v>
      </c>
      <c r="O449" t="s">
        <v>52</v>
      </c>
      <c r="P449">
        <v>28.52</v>
      </c>
    </row>
    <row r="450" spans="1:16" x14ac:dyDescent="0.25">
      <c r="A450" t="s">
        <v>515</v>
      </c>
      <c r="B450" s="1">
        <v>41753</v>
      </c>
      <c r="C450">
        <v>2014</v>
      </c>
      <c r="D450" t="s">
        <v>25</v>
      </c>
      <c r="E450" t="s">
        <v>87</v>
      </c>
      <c r="F450" t="s">
        <v>19</v>
      </c>
      <c r="G450" t="s">
        <v>39</v>
      </c>
      <c r="H450">
        <v>71.31</v>
      </c>
      <c r="I450">
        <v>270.43</v>
      </c>
      <c r="J450">
        <v>3792.38</v>
      </c>
      <c r="K450" t="s">
        <v>40</v>
      </c>
      <c r="L450" t="s">
        <v>29</v>
      </c>
      <c r="M450">
        <v>286.86</v>
      </c>
      <c r="N450">
        <v>343.72</v>
      </c>
      <c r="O450" t="s">
        <v>61</v>
      </c>
      <c r="P450">
        <v>23.87</v>
      </c>
    </row>
    <row r="451" spans="1:16" x14ac:dyDescent="0.25">
      <c r="A451" t="s">
        <v>516</v>
      </c>
      <c r="B451" s="1">
        <v>44225</v>
      </c>
      <c r="C451">
        <v>2020</v>
      </c>
      <c r="D451" t="s">
        <v>103</v>
      </c>
      <c r="E451" t="s">
        <v>228</v>
      </c>
      <c r="F451" t="s">
        <v>38</v>
      </c>
      <c r="G451" t="s">
        <v>20</v>
      </c>
      <c r="H451">
        <v>45.88</v>
      </c>
      <c r="I451">
        <v>54.21</v>
      </c>
      <c r="J451">
        <v>1181.58</v>
      </c>
      <c r="K451" t="s">
        <v>28</v>
      </c>
      <c r="L451" t="s">
        <v>47</v>
      </c>
      <c r="M451">
        <v>78.22</v>
      </c>
      <c r="N451">
        <v>678.65</v>
      </c>
      <c r="O451" t="s">
        <v>42</v>
      </c>
      <c r="P451">
        <v>24.23</v>
      </c>
    </row>
    <row r="452" spans="1:16" x14ac:dyDescent="0.25">
      <c r="A452" t="s">
        <v>517</v>
      </c>
      <c r="B452" s="1">
        <v>43354</v>
      </c>
      <c r="C452">
        <v>2018</v>
      </c>
      <c r="D452" t="s">
        <v>59</v>
      </c>
      <c r="E452" t="s">
        <v>60</v>
      </c>
      <c r="F452" t="s">
        <v>33</v>
      </c>
      <c r="G452" t="s">
        <v>46</v>
      </c>
      <c r="H452">
        <v>81.94</v>
      </c>
      <c r="I452">
        <v>473.66</v>
      </c>
      <c r="J452">
        <v>5780.55</v>
      </c>
      <c r="K452" t="s">
        <v>34</v>
      </c>
      <c r="L452" t="s">
        <v>47</v>
      </c>
      <c r="M452">
        <v>189.04</v>
      </c>
      <c r="N452">
        <v>270.92</v>
      </c>
      <c r="O452" t="s">
        <v>70</v>
      </c>
      <c r="P452">
        <v>27.99</v>
      </c>
    </row>
    <row r="453" spans="1:16" x14ac:dyDescent="0.25">
      <c r="A453" t="s">
        <v>518</v>
      </c>
      <c r="B453" s="1">
        <v>43728</v>
      </c>
      <c r="C453">
        <v>2019</v>
      </c>
      <c r="D453" t="s">
        <v>36</v>
      </c>
      <c r="E453" t="s">
        <v>37</v>
      </c>
      <c r="F453" t="s">
        <v>33</v>
      </c>
      <c r="G453" t="s">
        <v>27</v>
      </c>
      <c r="H453">
        <v>16.739999999999998</v>
      </c>
      <c r="I453">
        <v>65.19</v>
      </c>
      <c r="J453">
        <v>3894.25</v>
      </c>
      <c r="K453" t="s">
        <v>21</v>
      </c>
      <c r="L453" t="s">
        <v>47</v>
      </c>
      <c r="M453">
        <v>135.18</v>
      </c>
      <c r="N453">
        <v>1013.92</v>
      </c>
      <c r="O453" t="s">
        <v>61</v>
      </c>
      <c r="P453">
        <v>26.47</v>
      </c>
    </row>
    <row r="454" spans="1:16" x14ac:dyDescent="0.25">
      <c r="A454" t="s">
        <v>519</v>
      </c>
      <c r="B454" s="1">
        <v>43243</v>
      </c>
      <c r="C454">
        <v>2018</v>
      </c>
      <c r="D454" t="s">
        <v>44</v>
      </c>
      <c r="E454" t="s">
        <v>99</v>
      </c>
      <c r="F454" t="s">
        <v>19</v>
      </c>
      <c r="G454" t="s">
        <v>56</v>
      </c>
      <c r="H454">
        <v>18.14</v>
      </c>
      <c r="I454">
        <v>91.02</v>
      </c>
      <c r="J454">
        <v>5017.63</v>
      </c>
      <c r="K454" t="s">
        <v>28</v>
      </c>
      <c r="L454" t="s">
        <v>29</v>
      </c>
      <c r="M454">
        <v>78.58</v>
      </c>
      <c r="N454">
        <v>796.08</v>
      </c>
      <c r="O454" t="s">
        <v>70</v>
      </c>
      <c r="P454">
        <v>28.33</v>
      </c>
    </row>
    <row r="455" spans="1:16" x14ac:dyDescent="0.25">
      <c r="A455" t="s">
        <v>520</v>
      </c>
      <c r="B455" s="1">
        <v>42557</v>
      </c>
      <c r="C455">
        <v>2016</v>
      </c>
      <c r="D455" t="s">
        <v>103</v>
      </c>
      <c r="E455" t="s">
        <v>107</v>
      </c>
      <c r="F455" t="s">
        <v>33</v>
      </c>
      <c r="G455" t="s">
        <v>27</v>
      </c>
      <c r="H455">
        <v>11.77</v>
      </c>
      <c r="I455">
        <v>69.260000000000005</v>
      </c>
      <c r="J455">
        <v>5884.4</v>
      </c>
      <c r="K455" t="s">
        <v>28</v>
      </c>
      <c r="L455" t="s">
        <v>47</v>
      </c>
      <c r="M455">
        <v>131.85</v>
      </c>
      <c r="N455">
        <v>844.99</v>
      </c>
      <c r="O455" t="s">
        <v>23</v>
      </c>
      <c r="P455">
        <v>21.36</v>
      </c>
    </row>
    <row r="456" spans="1:16" x14ac:dyDescent="0.25">
      <c r="A456" t="s">
        <v>521</v>
      </c>
      <c r="B456" s="1">
        <v>44794</v>
      </c>
      <c r="C456">
        <v>2022</v>
      </c>
      <c r="D456" t="s">
        <v>44</v>
      </c>
      <c r="E456" t="s">
        <v>67</v>
      </c>
      <c r="F456" t="s">
        <v>33</v>
      </c>
      <c r="G456" t="s">
        <v>56</v>
      </c>
      <c r="H456">
        <v>66.430000000000007</v>
      </c>
      <c r="I456">
        <v>246.98</v>
      </c>
      <c r="J456">
        <v>3717.85</v>
      </c>
      <c r="K456" t="s">
        <v>34</v>
      </c>
      <c r="L456" t="s">
        <v>49</v>
      </c>
      <c r="M456">
        <v>147.5</v>
      </c>
      <c r="N456">
        <v>777.93</v>
      </c>
      <c r="O456" t="s">
        <v>42</v>
      </c>
      <c r="P456">
        <v>23.08</v>
      </c>
    </row>
    <row r="457" spans="1:16" x14ac:dyDescent="0.25">
      <c r="A457" t="s">
        <v>522</v>
      </c>
      <c r="B457" s="1">
        <v>41976</v>
      </c>
      <c r="C457">
        <v>2014</v>
      </c>
      <c r="D457" t="s">
        <v>59</v>
      </c>
      <c r="E457" t="s">
        <v>93</v>
      </c>
      <c r="F457" t="s">
        <v>38</v>
      </c>
      <c r="G457" t="s">
        <v>39</v>
      </c>
      <c r="H457">
        <v>98.28</v>
      </c>
      <c r="I457">
        <v>301.29000000000002</v>
      </c>
      <c r="J457">
        <v>3065.59</v>
      </c>
      <c r="K457" t="s">
        <v>21</v>
      </c>
      <c r="L457" t="s">
        <v>49</v>
      </c>
      <c r="M457">
        <v>195.68</v>
      </c>
      <c r="N457">
        <v>811.49</v>
      </c>
      <c r="O457" t="s">
        <v>61</v>
      </c>
      <c r="P457">
        <v>26.06</v>
      </c>
    </row>
    <row r="458" spans="1:16" x14ac:dyDescent="0.25">
      <c r="A458" t="s">
        <v>523</v>
      </c>
      <c r="B458" s="1">
        <v>43403</v>
      </c>
      <c r="C458">
        <v>2018</v>
      </c>
      <c r="D458" t="s">
        <v>25</v>
      </c>
      <c r="E458" t="s">
        <v>87</v>
      </c>
      <c r="F458" t="s">
        <v>33</v>
      </c>
      <c r="G458" t="s">
        <v>64</v>
      </c>
      <c r="H458">
        <v>70.63</v>
      </c>
      <c r="I458">
        <v>418.45</v>
      </c>
      <c r="J458">
        <v>5924.52</v>
      </c>
      <c r="K458" t="s">
        <v>34</v>
      </c>
      <c r="L458" t="s">
        <v>29</v>
      </c>
      <c r="M458">
        <v>77.42</v>
      </c>
      <c r="N458">
        <v>482.21</v>
      </c>
      <c r="O458" t="s">
        <v>23</v>
      </c>
      <c r="P458">
        <v>23.53</v>
      </c>
    </row>
    <row r="459" spans="1:16" x14ac:dyDescent="0.25">
      <c r="A459" t="s">
        <v>524</v>
      </c>
      <c r="B459" s="1">
        <v>44593</v>
      </c>
      <c r="C459">
        <v>2021</v>
      </c>
      <c r="D459" t="s">
        <v>17</v>
      </c>
      <c r="E459" t="s">
        <v>72</v>
      </c>
      <c r="F459" t="s">
        <v>38</v>
      </c>
      <c r="G459" t="s">
        <v>46</v>
      </c>
      <c r="H459">
        <v>38.770000000000003</v>
      </c>
      <c r="I459">
        <v>165.58</v>
      </c>
      <c r="J459">
        <v>4270.71</v>
      </c>
      <c r="K459" t="s">
        <v>40</v>
      </c>
      <c r="L459" t="s">
        <v>29</v>
      </c>
      <c r="M459">
        <v>168.72</v>
      </c>
      <c r="N459">
        <v>388.23</v>
      </c>
      <c r="O459" t="s">
        <v>52</v>
      </c>
      <c r="P459">
        <v>32.65</v>
      </c>
    </row>
    <row r="460" spans="1:16" x14ac:dyDescent="0.25">
      <c r="A460" t="s">
        <v>525</v>
      </c>
      <c r="B460" s="1">
        <v>44017</v>
      </c>
      <c r="C460">
        <v>2020</v>
      </c>
      <c r="D460" t="s">
        <v>103</v>
      </c>
      <c r="E460" t="s">
        <v>107</v>
      </c>
      <c r="F460" t="s">
        <v>33</v>
      </c>
      <c r="G460" t="s">
        <v>56</v>
      </c>
      <c r="H460">
        <v>2.15</v>
      </c>
      <c r="I460">
        <v>10.51</v>
      </c>
      <c r="J460">
        <v>4890.34</v>
      </c>
      <c r="K460" t="s">
        <v>40</v>
      </c>
      <c r="L460" t="s">
        <v>22</v>
      </c>
      <c r="M460">
        <v>230.33</v>
      </c>
      <c r="N460">
        <v>686.7</v>
      </c>
      <c r="O460" t="s">
        <v>52</v>
      </c>
      <c r="P460">
        <v>34.619999999999997</v>
      </c>
    </row>
    <row r="461" spans="1:16" x14ac:dyDescent="0.25">
      <c r="A461" t="s">
        <v>526</v>
      </c>
      <c r="B461" s="1">
        <v>44981</v>
      </c>
      <c r="C461">
        <v>2022</v>
      </c>
      <c r="D461" t="s">
        <v>103</v>
      </c>
      <c r="E461" t="s">
        <v>228</v>
      </c>
      <c r="F461" t="s">
        <v>38</v>
      </c>
      <c r="G461" t="s">
        <v>46</v>
      </c>
      <c r="H461">
        <v>89.46</v>
      </c>
      <c r="I461">
        <v>462.72</v>
      </c>
      <c r="J461">
        <v>5172.34</v>
      </c>
      <c r="K461" t="s">
        <v>28</v>
      </c>
      <c r="L461" t="s">
        <v>29</v>
      </c>
      <c r="M461">
        <v>205.81</v>
      </c>
      <c r="N461">
        <v>654.39</v>
      </c>
      <c r="O461" t="s">
        <v>52</v>
      </c>
      <c r="P461">
        <v>28.28</v>
      </c>
    </row>
    <row r="462" spans="1:16" x14ac:dyDescent="0.25">
      <c r="A462" t="s">
        <v>527</v>
      </c>
      <c r="B462" s="1">
        <v>41222</v>
      </c>
      <c r="C462">
        <v>2012</v>
      </c>
      <c r="D462" t="s">
        <v>31</v>
      </c>
      <c r="E462" t="s">
        <v>82</v>
      </c>
      <c r="F462" t="s">
        <v>38</v>
      </c>
      <c r="G462" t="s">
        <v>27</v>
      </c>
      <c r="H462">
        <v>1.74</v>
      </c>
      <c r="I462">
        <v>6.94</v>
      </c>
      <c r="J462">
        <v>3988.94</v>
      </c>
      <c r="K462" t="s">
        <v>40</v>
      </c>
      <c r="L462" t="s">
        <v>22</v>
      </c>
      <c r="M462">
        <v>228.03</v>
      </c>
      <c r="N462">
        <v>469.25</v>
      </c>
      <c r="O462" t="s">
        <v>61</v>
      </c>
      <c r="P462">
        <v>28.65</v>
      </c>
    </row>
    <row r="463" spans="1:16" x14ac:dyDescent="0.25">
      <c r="A463" t="s">
        <v>528</v>
      </c>
      <c r="B463" s="1">
        <v>44521</v>
      </c>
      <c r="C463">
        <v>2021</v>
      </c>
      <c r="D463" t="s">
        <v>59</v>
      </c>
      <c r="E463" t="s">
        <v>63</v>
      </c>
      <c r="F463" t="s">
        <v>38</v>
      </c>
      <c r="G463" t="s">
        <v>64</v>
      </c>
      <c r="H463">
        <v>58.45</v>
      </c>
      <c r="I463">
        <v>395.73</v>
      </c>
      <c r="J463">
        <v>6770.43</v>
      </c>
      <c r="K463" t="s">
        <v>21</v>
      </c>
      <c r="L463" t="s">
        <v>47</v>
      </c>
      <c r="M463">
        <v>85.52</v>
      </c>
      <c r="N463">
        <v>931.29</v>
      </c>
      <c r="O463" t="s">
        <v>70</v>
      </c>
      <c r="P463">
        <v>26.97</v>
      </c>
    </row>
    <row r="464" spans="1:16" x14ac:dyDescent="0.25">
      <c r="A464" t="s">
        <v>529</v>
      </c>
      <c r="B464" s="1">
        <v>41592</v>
      </c>
      <c r="C464">
        <v>2013</v>
      </c>
      <c r="D464" t="s">
        <v>59</v>
      </c>
      <c r="E464" t="s">
        <v>60</v>
      </c>
      <c r="F464" t="s">
        <v>38</v>
      </c>
      <c r="G464" t="s">
        <v>39</v>
      </c>
      <c r="H464">
        <v>74.430000000000007</v>
      </c>
      <c r="I464">
        <v>503.33</v>
      </c>
      <c r="J464">
        <v>6762.47</v>
      </c>
      <c r="K464" t="s">
        <v>21</v>
      </c>
      <c r="L464" t="s">
        <v>49</v>
      </c>
      <c r="M464">
        <v>221.02</v>
      </c>
      <c r="N464">
        <v>739.2</v>
      </c>
      <c r="O464" t="s">
        <v>61</v>
      </c>
      <c r="P464">
        <v>24.69</v>
      </c>
    </row>
    <row r="465" spans="1:16" x14ac:dyDescent="0.25">
      <c r="A465" t="s">
        <v>530</v>
      </c>
      <c r="B465" s="1">
        <v>43049</v>
      </c>
      <c r="C465">
        <v>2017</v>
      </c>
      <c r="D465" t="s">
        <v>59</v>
      </c>
      <c r="E465" t="s">
        <v>60</v>
      </c>
      <c r="F465" t="s">
        <v>38</v>
      </c>
      <c r="G465" t="s">
        <v>27</v>
      </c>
      <c r="H465">
        <v>90.7</v>
      </c>
      <c r="I465">
        <v>403.05</v>
      </c>
      <c r="J465">
        <v>4443.79</v>
      </c>
      <c r="K465" t="s">
        <v>34</v>
      </c>
      <c r="L465" t="s">
        <v>47</v>
      </c>
      <c r="M465">
        <v>155.25</v>
      </c>
      <c r="N465">
        <v>1160.58</v>
      </c>
      <c r="O465" t="s">
        <v>70</v>
      </c>
      <c r="P465">
        <v>24.34</v>
      </c>
    </row>
    <row r="466" spans="1:16" x14ac:dyDescent="0.25">
      <c r="A466" t="s">
        <v>531</v>
      </c>
      <c r="B466" s="1">
        <v>44326</v>
      </c>
      <c r="C466">
        <v>2021</v>
      </c>
      <c r="D466" t="s">
        <v>17</v>
      </c>
      <c r="E466" t="s">
        <v>72</v>
      </c>
      <c r="F466" t="s">
        <v>19</v>
      </c>
      <c r="G466" t="s">
        <v>20</v>
      </c>
      <c r="H466">
        <v>7.08</v>
      </c>
      <c r="I466">
        <v>27.18</v>
      </c>
      <c r="J466">
        <v>3838.96</v>
      </c>
      <c r="K466" t="s">
        <v>40</v>
      </c>
      <c r="L466" t="s">
        <v>22</v>
      </c>
      <c r="M466">
        <v>193.21</v>
      </c>
      <c r="N466">
        <v>856.32</v>
      </c>
      <c r="O466" t="s">
        <v>70</v>
      </c>
      <c r="P466">
        <v>32.130000000000003</v>
      </c>
    </row>
    <row r="467" spans="1:16" x14ac:dyDescent="0.25">
      <c r="A467" t="s">
        <v>532</v>
      </c>
      <c r="B467" s="1">
        <v>40723</v>
      </c>
      <c r="C467">
        <v>2011</v>
      </c>
      <c r="D467" t="s">
        <v>31</v>
      </c>
      <c r="E467" t="s">
        <v>32</v>
      </c>
      <c r="F467" t="s">
        <v>33</v>
      </c>
      <c r="G467" t="s">
        <v>27</v>
      </c>
      <c r="H467">
        <v>8.61</v>
      </c>
      <c r="I467">
        <v>49.1</v>
      </c>
      <c r="J467">
        <v>5702.58</v>
      </c>
      <c r="K467" t="s">
        <v>34</v>
      </c>
      <c r="L467" t="s">
        <v>47</v>
      </c>
      <c r="M467">
        <v>83.13</v>
      </c>
      <c r="N467">
        <v>480.97</v>
      </c>
      <c r="O467" t="s">
        <v>70</v>
      </c>
      <c r="P467">
        <v>20.21</v>
      </c>
    </row>
    <row r="468" spans="1:16" x14ac:dyDescent="0.25">
      <c r="A468" t="s">
        <v>533</v>
      </c>
      <c r="B468" s="1">
        <v>44356</v>
      </c>
      <c r="C468">
        <v>2021</v>
      </c>
      <c r="D468" t="s">
        <v>103</v>
      </c>
      <c r="E468" t="s">
        <v>228</v>
      </c>
      <c r="F468" t="s">
        <v>33</v>
      </c>
      <c r="G468" t="s">
        <v>39</v>
      </c>
      <c r="H468">
        <v>45.22</v>
      </c>
      <c r="I468">
        <v>264.39999999999998</v>
      </c>
      <c r="J468">
        <v>5847.04</v>
      </c>
      <c r="K468" t="s">
        <v>34</v>
      </c>
      <c r="L468" t="s">
        <v>49</v>
      </c>
      <c r="M468">
        <v>245.63</v>
      </c>
      <c r="N468">
        <v>436.2</v>
      </c>
      <c r="O468" t="s">
        <v>42</v>
      </c>
      <c r="P468">
        <v>31.99</v>
      </c>
    </row>
    <row r="469" spans="1:16" x14ac:dyDescent="0.25">
      <c r="A469" t="s">
        <v>534</v>
      </c>
      <c r="B469" s="1">
        <v>43705</v>
      </c>
      <c r="C469">
        <v>2019</v>
      </c>
      <c r="D469" t="s">
        <v>25</v>
      </c>
      <c r="E469" t="s">
        <v>26</v>
      </c>
      <c r="F469" t="s">
        <v>33</v>
      </c>
      <c r="G469" t="s">
        <v>46</v>
      </c>
      <c r="H469">
        <v>75.52</v>
      </c>
      <c r="I469">
        <v>262.64</v>
      </c>
      <c r="J469">
        <v>3477.69</v>
      </c>
      <c r="K469" t="s">
        <v>28</v>
      </c>
      <c r="L469" t="s">
        <v>22</v>
      </c>
      <c r="M469">
        <v>109.49</v>
      </c>
      <c r="N469">
        <v>640.19000000000005</v>
      </c>
      <c r="O469" t="s">
        <v>42</v>
      </c>
      <c r="P469">
        <v>23.16</v>
      </c>
    </row>
    <row r="470" spans="1:16" x14ac:dyDescent="0.25">
      <c r="A470" t="s">
        <v>535</v>
      </c>
      <c r="B470" s="1">
        <v>44812</v>
      </c>
      <c r="C470">
        <v>2022</v>
      </c>
      <c r="D470" t="s">
        <v>17</v>
      </c>
      <c r="E470" t="s">
        <v>72</v>
      </c>
      <c r="F470" t="s">
        <v>33</v>
      </c>
      <c r="G470" t="s">
        <v>64</v>
      </c>
      <c r="H470">
        <v>17.59</v>
      </c>
      <c r="I470">
        <v>59.67</v>
      </c>
      <c r="J470">
        <v>3392.47</v>
      </c>
      <c r="K470" t="s">
        <v>34</v>
      </c>
      <c r="L470" t="s">
        <v>29</v>
      </c>
      <c r="M470">
        <v>169.07</v>
      </c>
      <c r="N470">
        <v>1148.25</v>
      </c>
      <c r="O470" t="s">
        <v>61</v>
      </c>
      <c r="P470">
        <v>23.5</v>
      </c>
    </row>
    <row r="471" spans="1:16" x14ac:dyDescent="0.25">
      <c r="A471" t="s">
        <v>536</v>
      </c>
      <c r="B471" s="1">
        <v>43541</v>
      </c>
      <c r="C471">
        <v>2018</v>
      </c>
      <c r="D471" t="s">
        <v>31</v>
      </c>
      <c r="E471" t="s">
        <v>82</v>
      </c>
      <c r="F471" t="s">
        <v>38</v>
      </c>
      <c r="G471" t="s">
        <v>64</v>
      </c>
      <c r="H471">
        <v>29.59</v>
      </c>
      <c r="I471">
        <v>171.14</v>
      </c>
      <c r="J471">
        <v>5783.85</v>
      </c>
      <c r="K471" t="s">
        <v>28</v>
      </c>
      <c r="L471" t="s">
        <v>49</v>
      </c>
      <c r="M471">
        <v>219.62</v>
      </c>
      <c r="N471">
        <v>1161.76</v>
      </c>
      <c r="O471" t="s">
        <v>23</v>
      </c>
      <c r="P471">
        <v>21.46</v>
      </c>
    </row>
    <row r="472" spans="1:16" x14ac:dyDescent="0.25">
      <c r="A472" t="s">
        <v>537</v>
      </c>
      <c r="B472" s="1">
        <v>43603</v>
      </c>
      <c r="C472">
        <v>2019</v>
      </c>
      <c r="D472" t="s">
        <v>44</v>
      </c>
      <c r="E472" t="s">
        <v>99</v>
      </c>
      <c r="F472" t="s">
        <v>19</v>
      </c>
      <c r="G472" t="s">
        <v>20</v>
      </c>
      <c r="H472">
        <v>34.159999999999997</v>
      </c>
      <c r="I472">
        <v>88.9</v>
      </c>
      <c r="J472">
        <v>2602.5300000000002</v>
      </c>
      <c r="K472" t="s">
        <v>21</v>
      </c>
      <c r="L472" t="s">
        <v>41</v>
      </c>
      <c r="M472">
        <v>113.84</v>
      </c>
      <c r="N472">
        <v>784.18</v>
      </c>
      <c r="O472" t="s">
        <v>52</v>
      </c>
      <c r="P472">
        <v>31.6</v>
      </c>
    </row>
    <row r="473" spans="1:16" x14ac:dyDescent="0.25">
      <c r="A473" t="s">
        <v>538</v>
      </c>
      <c r="B473" s="1">
        <v>43620</v>
      </c>
      <c r="C473">
        <v>2019</v>
      </c>
      <c r="D473" t="s">
        <v>17</v>
      </c>
      <c r="E473" t="s">
        <v>54</v>
      </c>
      <c r="F473" t="s">
        <v>33</v>
      </c>
      <c r="G473" t="s">
        <v>27</v>
      </c>
      <c r="H473">
        <v>34.4</v>
      </c>
      <c r="I473">
        <v>176.87</v>
      </c>
      <c r="J473">
        <v>5141.67</v>
      </c>
      <c r="K473" t="s">
        <v>40</v>
      </c>
      <c r="L473" t="s">
        <v>29</v>
      </c>
      <c r="M473">
        <v>128.32</v>
      </c>
      <c r="N473">
        <v>210.58</v>
      </c>
      <c r="O473" t="s">
        <v>23</v>
      </c>
      <c r="P473">
        <v>32.479999999999997</v>
      </c>
    </row>
    <row r="474" spans="1:16" x14ac:dyDescent="0.25">
      <c r="A474" t="s">
        <v>539</v>
      </c>
      <c r="B474" s="1">
        <v>40672</v>
      </c>
      <c r="C474">
        <v>2011</v>
      </c>
      <c r="D474" t="s">
        <v>25</v>
      </c>
      <c r="E474" t="s">
        <v>69</v>
      </c>
      <c r="F474" t="s">
        <v>19</v>
      </c>
      <c r="G474" t="s">
        <v>46</v>
      </c>
      <c r="H474">
        <v>35.799999999999997</v>
      </c>
      <c r="I474">
        <v>191.58</v>
      </c>
      <c r="J474">
        <v>5351.5</v>
      </c>
      <c r="K474" t="s">
        <v>34</v>
      </c>
      <c r="L474" t="s">
        <v>41</v>
      </c>
      <c r="M474">
        <v>98.27</v>
      </c>
      <c r="N474">
        <v>223.7</v>
      </c>
      <c r="O474" t="s">
        <v>23</v>
      </c>
      <c r="P474">
        <v>20.85</v>
      </c>
    </row>
    <row r="475" spans="1:16" x14ac:dyDescent="0.25">
      <c r="A475" t="s">
        <v>540</v>
      </c>
      <c r="B475" s="1">
        <v>40645</v>
      </c>
      <c r="C475">
        <v>2011</v>
      </c>
      <c r="D475" t="s">
        <v>59</v>
      </c>
      <c r="E475" t="s">
        <v>93</v>
      </c>
      <c r="F475" t="s">
        <v>19</v>
      </c>
      <c r="G475" t="s">
        <v>64</v>
      </c>
      <c r="H475">
        <v>9.5500000000000007</v>
      </c>
      <c r="I475">
        <v>44.2</v>
      </c>
      <c r="J475">
        <v>4628.1099999999997</v>
      </c>
      <c r="K475" t="s">
        <v>28</v>
      </c>
      <c r="L475" t="s">
        <v>22</v>
      </c>
      <c r="M475">
        <v>214.1</v>
      </c>
      <c r="N475">
        <v>1099.9000000000001</v>
      </c>
      <c r="O475" t="s">
        <v>61</v>
      </c>
      <c r="P475">
        <v>32.049999999999997</v>
      </c>
    </row>
    <row r="476" spans="1:16" x14ac:dyDescent="0.25">
      <c r="A476" t="s">
        <v>541</v>
      </c>
      <c r="B476" s="1">
        <v>42026</v>
      </c>
      <c r="C476">
        <v>2014</v>
      </c>
      <c r="D476" t="s">
        <v>17</v>
      </c>
      <c r="E476" t="s">
        <v>18</v>
      </c>
      <c r="F476" t="s">
        <v>38</v>
      </c>
      <c r="G476" t="s">
        <v>46</v>
      </c>
      <c r="H476">
        <v>66.39</v>
      </c>
      <c r="I476">
        <v>96.55</v>
      </c>
      <c r="J476">
        <v>1454.29</v>
      </c>
      <c r="K476" t="s">
        <v>28</v>
      </c>
      <c r="L476" t="s">
        <v>49</v>
      </c>
      <c r="M476">
        <v>280.67</v>
      </c>
      <c r="N476">
        <v>476.38</v>
      </c>
      <c r="O476" t="s">
        <v>52</v>
      </c>
      <c r="P476">
        <v>30.38</v>
      </c>
    </row>
    <row r="477" spans="1:16" x14ac:dyDescent="0.25">
      <c r="A477" t="s">
        <v>542</v>
      </c>
      <c r="B477" s="1">
        <v>41842</v>
      </c>
      <c r="C477">
        <v>2014</v>
      </c>
      <c r="D477" t="s">
        <v>103</v>
      </c>
      <c r="E477" t="s">
        <v>104</v>
      </c>
      <c r="F477" t="s">
        <v>33</v>
      </c>
      <c r="G477" t="s">
        <v>46</v>
      </c>
      <c r="H477">
        <v>39.47</v>
      </c>
      <c r="I477">
        <v>275.33</v>
      </c>
      <c r="J477">
        <v>6975.75</v>
      </c>
      <c r="K477" t="s">
        <v>34</v>
      </c>
      <c r="L477" t="s">
        <v>47</v>
      </c>
      <c r="M477">
        <v>288.89999999999998</v>
      </c>
      <c r="N477">
        <v>464.66</v>
      </c>
      <c r="O477" t="s">
        <v>52</v>
      </c>
      <c r="P477">
        <v>21.04</v>
      </c>
    </row>
    <row r="478" spans="1:16" x14ac:dyDescent="0.25">
      <c r="A478" t="s">
        <v>543</v>
      </c>
      <c r="B478" s="1">
        <v>44162</v>
      </c>
      <c r="C478">
        <v>2020</v>
      </c>
      <c r="D478" t="s">
        <v>36</v>
      </c>
      <c r="E478" t="s">
        <v>37</v>
      </c>
      <c r="F478" t="s">
        <v>38</v>
      </c>
      <c r="G478" t="s">
        <v>64</v>
      </c>
      <c r="H478">
        <v>15.24</v>
      </c>
      <c r="I478">
        <v>85.53</v>
      </c>
      <c r="J478">
        <v>5612.24</v>
      </c>
      <c r="K478" t="s">
        <v>40</v>
      </c>
      <c r="L478" t="s">
        <v>22</v>
      </c>
      <c r="M478">
        <v>203.49</v>
      </c>
      <c r="N478">
        <v>306.25</v>
      </c>
      <c r="O478" t="s">
        <v>52</v>
      </c>
      <c r="P478">
        <v>30.73</v>
      </c>
    </row>
    <row r="479" spans="1:16" x14ac:dyDescent="0.25">
      <c r="A479" t="s">
        <v>544</v>
      </c>
      <c r="B479" s="1">
        <v>43573</v>
      </c>
      <c r="C479">
        <v>2019</v>
      </c>
      <c r="D479" t="s">
        <v>25</v>
      </c>
      <c r="E479" t="s">
        <v>26</v>
      </c>
      <c r="F479" t="s">
        <v>19</v>
      </c>
      <c r="G479" t="s">
        <v>20</v>
      </c>
      <c r="H479">
        <v>77.95</v>
      </c>
      <c r="I479">
        <v>86.73</v>
      </c>
      <c r="J479">
        <v>1112.5899999999999</v>
      </c>
      <c r="K479" t="s">
        <v>28</v>
      </c>
      <c r="L479" t="s">
        <v>41</v>
      </c>
      <c r="M479">
        <v>87.21</v>
      </c>
      <c r="N479">
        <v>840.34</v>
      </c>
      <c r="O479" t="s">
        <v>23</v>
      </c>
      <c r="P479">
        <v>29.97</v>
      </c>
    </row>
    <row r="480" spans="1:16" x14ac:dyDescent="0.25">
      <c r="A480" t="s">
        <v>545</v>
      </c>
      <c r="B480" s="1">
        <v>42461</v>
      </c>
      <c r="C480">
        <v>2016</v>
      </c>
      <c r="D480" t="s">
        <v>17</v>
      </c>
      <c r="E480" t="s">
        <v>72</v>
      </c>
      <c r="F480" t="s">
        <v>19</v>
      </c>
      <c r="G480" t="s">
        <v>64</v>
      </c>
      <c r="H480">
        <v>52.02</v>
      </c>
      <c r="I480">
        <v>345.39</v>
      </c>
      <c r="J480">
        <v>6639.47</v>
      </c>
      <c r="K480" t="s">
        <v>28</v>
      </c>
      <c r="L480" t="s">
        <v>29</v>
      </c>
      <c r="M480">
        <v>169.53</v>
      </c>
      <c r="N480">
        <v>603.91</v>
      </c>
      <c r="O480" t="s">
        <v>23</v>
      </c>
      <c r="P480">
        <v>28.1</v>
      </c>
    </row>
    <row r="481" spans="1:16" x14ac:dyDescent="0.25">
      <c r="A481" t="s">
        <v>546</v>
      </c>
      <c r="B481" s="1">
        <v>40688</v>
      </c>
      <c r="C481">
        <v>2011</v>
      </c>
      <c r="D481" t="s">
        <v>17</v>
      </c>
      <c r="E481" t="s">
        <v>72</v>
      </c>
      <c r="F481" t="s">
        <v>19</v>
      </c>
      <c r="G481" t="s">
        <v>27</v>
      </c>
      <c r="H481">
        <v>93.57</v>
      </c>
      <c r="I481">
        <v>295.07</v>
      </c>
      <c r="J481">
        <v>3153.51</v>
      </c>
      <c r="K481" t="s">
        <v>34</v>
      </c>
      <c r="L481" t="s">
        <v>49</v>
      </c>
      <c r="M481">
        <v>150.15</v>
      </c>
      <c r="N481">
        <v>832.27</v>
      </c>
      <c r="O481" t="s">
        <v>23</v>
      </c>
      <c r="P481">
        <v>25.48</v>
      </c>
    </row>
    <row r="482" spans="1:16" x14ac:dyDescent="0.25">
      <c r="A482" t="s">
        <v>547</v>
      </c>
      <c r="B482" s="1">
        <v>44957</v>
      </c>
      <c r="C482">
        <v>2022</v>
      </c>
      <c r="D482" t="s">
        <v>25</v>
      </c>
      <c r="E482" t="s">
        <v>87</v>
      </c>
      <c r="F482" t="s">
        <v>38</v>
      </c>
      <c r="G482" t="s">
        <v>39</v>
      </c>
      <c r="H482">
        <v>21.11</v>
      </c>
      <c r="I482">
        <v>91.34</v>
      </c>
      <c r="J482">
        <v>4326.8500000000004</v>
      </c>
      <c r="K482" t="s">
        <v>28</v>
      </c>
      <c r="L482" t="s">
        <v>29</v>
      </c>
      <c r="M482">
        <v>215.18</v>
      </c>
      <c r="N482">
        <v>498.87</v>
      </c>
      <c r="O482" t="s">
        <v>52</v>
      </c>
      <c r="P482">
        <v>33.450000000000003</v>
      </c>
    </row>
    <row r="483" spans="1:16" x14ac:dyDescent="0.25">
      <c r="A483" t="s">
        <v>548</v>
      </c>
      <c r="B483" s="1">
        <v>42857</v>
      </c>
      <c r="C483">
        <v>2017</v>
      </c>
      <c r="D483" t="s">
        <v>25</v>
      </c>
      <c r="E483" t="s">
        <v>69</v>
      </c>
      <c r="F483" t="s">
        <v>19</v>
      </c>
      <c r="G483" t="s">
        <v>56</v>
      </c>
      <c r="H483">
        <v>14.85</v>
      </c>
      <c r="I483">
        <v>32.049999999999997</v>
      </c>
      <c r="J483">
        <v>2158.56</v>
      </c>
      <c r="K483" t="s">
        <v>40</v>
      </c>
      <c r="L483" t="s">
        <v>47</v>
      </c>
      <c r="M483">
        <v>172.31</v>
      </c>
      <c r="N483">
        <v>262.99</v>
      </c>
      <c r="O483" t="s">
        <v>61</v>
      </c>
      <c r="P483">
        <v>29.65</v>
      </c>
    </row>
    <row r="484" spans="1:16" x14ac:dyDescent="0.25">
      <c r="A484" t="s">
        <v>549</v>
      </c>
      <c r="B484" s="1">
        <v>40467</v>
      </c>
      <c r="C484">
        <v>2010</v>
      </c>
      <c r="D484" t="s">
        <v>44</v>
      </c>
      <c r="E484" t="s">
        <v>99</v>
      </c>
      <c r="F484" t="s">
        <v>33</v>
      </c>
      <c r="G484" t="s">
        <v>20</v>
      </c>
      <c r="H484">
        <v>6.55</v>
      </c>
      <c r="I484">
        <v>37.51</v>
      </c>
      <c r="J484">
        <v>5726.67</v>
      </c>
      <c r="K484" t="s">
        <v>21</v>
      </c>
      <c r="L484" t="s">
        <v>41</v>
      </c>
      <c r="M484">
        <v>151.38</v>
      </c>
      <c r="N484">
        <v>411.68</v>
      </c>
      <c r="O484" t="s">
        <v>61</v>
      </c>
      <c r="P484">
        <v>26.88</v>
      </c>
    </row>
    <row r="485" spans="1:16" x14ac:dyDescent="0.25">
      <c r="A485" t="s">
        <v>550</v>
      </c>
      <c r="B485" s="1">
        <v>41459</v>
      </c>
      <c r="C485">
        <v>2013</v>
      </c>
      <c r="D485" t="s">
        <v>17</v>
      </c>
      <c r="E485" t="s">
        <v>54</v>
      </c>
      <c r="F485" t="s">
        <v>33</v>
      </c>
      <c r="G485" t="s">
        <v>64</v>
      </c>
      <c r="H485">
        <v>73.81</v>
      </c>
      <c r="I485">
        <v>290.32</v>
      </c>
      <c r="J485">
        <v>3933.37</v>
      </c>
      <c r="K485" t="s">
        <v>21</v>
      </c>
      <c r="L485" t="s">
        <v>22</v>
      </c>
      <c r="M485">
        <v>167.8</v>
      </c>
      <c r="N485">
        <v>1118.02</v>
      </c>
      <c r="O485" t="s">
        <v>23</v>
      </c>
      <c r="P485">
        <v>23.64</v>
      </c>
    </row>
    <row r="486" spans="1:16" x14ac:dyDescent="0.25">
      <c r="A486" t="s">
        <v>551</v>
      </c>
      <c r="B486" s="1">
        <v>40539</v>
      </c>
      <c r="C486">
        <v>2010</v>
      </c>
      <c r="D486" t="s">
        <v>103</v>
      </c>
      <c r="E486" t="s">
        <v>228</v>
      </c>
      <c r="F486" t="s">
        <v>38</v>
      </c>
      <c r="G486" t="s">
        <v>64</v>
      </c>
      <c r="H486">
        <v>46.16</v>
      </c>
      <c r="I486">
        <v>93.43</v>
      </c>
      <c r="J486">
        <v>2024.14</v>
      </c>
      <c r="K486" t="s">
        <v>21</v>
      </c>
      <c r="L486" t="s">
        <v>22</v>
      </c>
      <c r="M486">
        <v>254.45</v>
      </c>
      <c r="N486">
        <v>306.33</v>
      </c>
      <c r="O486" t="s">
        <v>52</v>
      </c>
      <c r="P486">
        <v>28.92</v>
      </c>
    </row>
    <row r="487" spans="1:16" x14ac:dyDescent="0.25">
      <c r="A487" t="s">
        <v>552</v>
      </c>
      <c r="B487" s="1">
        <v>42719</v>
      </c>
      <c r="C487">
        <v>2016</v>
      </c>
      <c r="D487" t="s">
        <v>44</v>
      </c>
      <c r="E487" t="s">
        <v>45</v>
      </c>
      <c r="F487" t="s">
        <v>38</v>
      </c>
      <c r="G487" t="s">
        <v>39</v>
      </c>
      <c r="H487">
        <v>68.16</v>
      </c>
      <c r="I487">
        <v>200.76</v>
      </c>
      <c r="J487">
        <v>2945.41</v>
      </c>
      <c r="K487" t="s">
        <v>40</v>
      </c>
      <c r="L487" t="s">
        <v>49</v>
      </c>
      <c r="M487">
        <v>130.4</v>
      </c>
      <c r="N487">
        <v>1164.69</v>
      </c>
      <c r="O487" t="s">
        <v>42</v>
      </c>
      <c r="P487">
        <v>31.46</v>
      </c>
    </row>
    <row r="488" spans="1:16" x14ac:dyDescent="0.25">
      <c r="A488" t="s">
        <v>553</v>
      </c>
      <c r="B488" s="1">
        <v>41887</v>
      </c>
      <c r="C488">
        <v>2014</v>
      </c>
      <c r="D488" t="s">
        <v>25</v>
      </c>
      <c r="E488" t="s">
        <v>26</v>
      </c>
      <c r="F488" t="s">
        <v>33</v>
      </c>
      <c r="G488" t="s">
        <v>46</v>
      </c>
      <c r="H488">
        <v>17.64</v>
      </c>
      <c r="I488">
        <v>56.79</v>
      </c>
      <c r="J488">
        <v>3219.56</v>
      </c>
      <c r="K488" t="s">
        <v>40</v>
      </c>
      <c r="L488" t="s">
        <v>41</v>
      </c>
      <c r="M488">
        <v>159.66999999999999</v>
      </c>
      <c r="N488">
        <v>1125.68</v>
      </c>
      <c r="O488" t="s">
        <v>23</v>
      </c>
      <c r="P488">
        <v>22</v>
      </c>
    </row>
    <row r="489" spans="1:16" x14ac:dyDescent="0.25">
      <c r="A489" t="s">
        <v>554</v>
      </c>
      <c r="B489" s="1">
        <v>40747</v>
      </c>
      <c r="C489">
        <v>2011</v>
      </c>
      <c r="D489" t="s">
        <v>25</v>
      </c>
      <c r="E489" t="s">
        <v>87</v>
      </c>
      <c r="F489" t="s">
        <v>33</v>
      </c>
      <c r="G489" t="s">
        <v>64</v>
      </c>
      <c r="H489">
        <v>18.760000000000002</v>
      </c>
      <c r="I489">
        <v>28.79</v>
      </c>
      <c r="J489">
        <v>1534.85</v>
      </c>
      <c r="K489" t="s">
        <v>34</v>
      </c>
      <c r="L489" t="s">
        <v>41</v>
      </c>
      <c r="M489">
        <v>154.06</v>
      </c>
      <c r="N489">
        <v>1007.41</v>
      </c>
      <c r="O489" t="s">
        <v>52</v>
      </c>
      <c r="P489">
        <v>30.39</v>
      </c>
    </row>
    <row r="490" spans="1:16" x14ac:dyDescent="0.25">
      <c r="A490" t="s">
        <v>555</v>
      </c>
      <c r="B490" s="1">
        <v>43482</v>
      </c>
      <c r="C490">
        <v>2018</v>
      </c>
      <c r="D490" t="s">
        <v>17</v>
      </c>
      <c r="E490" t="s">
        <v>72</v>
      </c>
      <c r="F490" t="s">
        <v>38</v>
      </c>
      <c r="G490" t="s">
        <v>46</v>
      </c>
      <c r="H490">
        <v>24.69</v>
      </c>
      <c r="I490">
        <v>50.55</v>
      </c>
      <c r="J490">
        <v>2047.29</v>
      </c>
      <c r="K490" t="s">
        <v>21</v>
      </c>
      <c r="L490" t="s">
        <v>49</v>
      </c>
      <c r="M490">
        <v>199.07</v>
      </c>
      <c r="N490">
        <v>917.2</v>
      </c>
      <c r="O490" t="s">
        <v>61</v>
      </c>
      <c r="P490">
        <v>34.25</v>
      </c>
    </row>
    <row r="491" spans="1:16" x14ac:dyDescent="0.25">
      <c r="A491" t="s">
        <v>556</v>
      </c>
      <c r="B491" s="1">
        <v>43370</v>
      </c>
      <c r="C491">
        <v>2018</v>
      </c>
      <c r="D491" t="s">
        <v>36</v>
      </c>
      <c r="E491" t="s">
        <v>37</v>
      </c>
      <c r="F491" t="s">
        <v>33</v>
      </c>
      <c r="G491" t="s">
        <v>56</v>
      </c>
      <c r="H491">
        <v>12.63</v>
      </c>
      <c r="I491">
        <v>52.81</v>
      </c>
      <c r="J491">
        <v>4181.1899999999996</v>
      </c>
      <c r="K491" t="s">
        <v>21</v>
      </c>
      <c r="L491" t="s">
        <v>41</v>
      </c>
      <c r="M491">
        <v>204.73</v>
      </c>
      <c r="N491">
        <v>1062.73</v>
      </c>
      <c r="O491" t="s">
        <v>61</v>
      </c>
      <c r="P491">
        <v>27.61</v>
      </c>
    </row>
    <row r="492" spans="1:16" x14ac:dyDescent="0.25">
      <c r="A492" t="s">
        <v>557</v>
      </c>
      <c r="B492" s="1">
        <v>41519</v>
      </c>
      <c r="C492">
        <v>2013</v>
      </c>
      <c r="D492" t="s">
        <v>31</v>
      </c>
      <c r="E492" t="s">
        <v>82</v>
      </c>
      <c r="F492" t="s">
        <v>33</v>
      </c>
      <c r="G492" t="s">
        <v>56</v>
      </c>
      <c r="H492">
        <v>68.84</v>
      </c>
      <c r="I492">
        <v>468.9</v>
      </c>
      <c r="J492">
        <v>6811.44</v>
      </c>
      <c r="K492" t="s">
        <v>28</v>
      </c>
      <c r="L492" t="s">
        <v>49</v>
      </c>
      <c r="M492">
        <v>174.38</v>
      </c>
      <c r="N492">
        <v>359.76</v>
      </c>
      <c r="O492" t="s">
        <v>23</v>
      </c>
      <c r="P492">
        <v>20.81</v>
      </c>
    </row>
    <row r="493" spans="1:16" x14ac:dyDescent="0.25">
      <c r="A493" t="s">
        <v>558</v>
      </c>
      <c r="B493" s="1">
        <v>41951</v>
      </c>
      <c r="C493">
        <v>2014</v>
      </c>
      <c r="D493" t="s">
        <v>103</v>
      </c>
      <c r="E493" t="s">
        <v>107</v>
      </c>
      <c r="F493" t="s">
        <v>38</v>
      </c>
      <c r="G493" t="s">
        <v>27</v>
      </c>
      <c r="H493">
        <v>80.709999999999994</v>
      </c>
      <c r="I493">
        <v>447.98</v>
      </c>
      <c r="J493">
        <v>5550.45</v>
      </c>
      <c r="K493" t="s">
        <v>21</v>
      </c>
      <c r="L493" t="s">
        <v>29</v>
      </c>
      <c r="M493">
        <v>76.11</v>
      </c>
      <c r="N493">
        <v>252.46</v>
      </c>
      <c r="O493" t="s">
        <v>61</v>
      </c>
      <c r="P493">
        <v>22.64</v>
      </c>
    </row>
    <row r="494" spans="1:16" x14ac:dyDescent="0.25">
      <c r="A494" t="s">
        <v>559</v>
      </c>
      <c r="B494" s="1">
        <v>40723</v>
      </c>
      <c r="C494">
        <v>2011</v>
      </c>
      <c r="D494" t="s">
        <v>59</v>
      </c>
      <c r="E494" t="s">
        <v>60</v>
      </c>
      <c r="F494" t="s">
        <v>33</v>
      </c>
      <c r="G494" t="s">
        <v>39</v>
      </c>
      <c r="H494">
        <v>45.04</v>
      </c>
      <c r="I494">
        <v>201.71</v>
      </c>
      <c r="J494">
        <v>4478.57</v>
      </c>
      <c r="K494" t="s">
        <v>28</v>
      </c>
      <c r="L494" t="s">
        <v>49</v>
      </c>
      <c r="M494">
        <v>99.69</v>
      </c>
      <c r="N494">
        <v>876.85</v>
      </c>
      <c r="O494" t="s">
        <v>70</v>
      </c>
      <c r="P494">
        <v>23.45</v>
      </c>
    </row>
    <row r="495" spans="1:16" x14ac:dyDescent="0.25">
      <c r="A495" t="s">
        <v>560</v>
      </c>
      <c r="B495" s="1">
        <v>41374</v>
      </c>
      <c r="C495">
        <v>2013</v>
      </c>
      <c r="D495" t="s">
        <v>103</v>
      </c>
      <c r="E495" t="s">
        <v>104</v>
      </c>
      <c r="F495" t="s">
        <v>19</v>
      </c>
      <c r="G495" t="s">
        <v>46</v>
      </c>
      <c r="H495">
        <v>87.12</v>
      </c>
      <c r="I495">
        <v>283.42</v>
      </c>
      <c r="J495">
        <v>3253.19</v>
      </c>
      <c r="K495" t="s">
        <v>40</v>
      </c>
      <c r="L495" t="s">
        <v>41</v>
      </c>
      <c r="M495">
        <v>68.38</v>
      </c>
      <c r="N495">
        <v>785.09</v>
      </c>
      <c r="O495" t="s">
        <v>23</v>
      </c>
      <c r="P495">
        <v>33.36</v>
      </c>
    </row>
    <row r="496" spans="1:16" x14ac:dyDescent="0.25">
      <c r="A496" t="s">
        <v>561</v>
      </c>
      <c r="B496" s="1">
        <v>41359</v>
      </c>
      <c r="C496">
        <v>2012</v>
      </c>
      <c r="D496" t="s">
        <v>59</v>
      </c>
      <c r="E496" t="s">
        <v>63</v>
      </c>
      <c r="F496" t="s">
        <v>38</v>
      </c>
      <c r="G496" t="s">
        <v>20</v>
      </c>
      <c r="H496">
        <v>14.5</v>
      </c>
      <c r="I496">
        <v>77.12</v>
      </c>
      <c r="J496">
        <v>5318.93</v>
      </c>
      <c r="K496" t="s">
        <v>34</v>
      </c>
      <c r="L496" t="s">
        <v>22</v>
      </c>
      <c r="M496">
        <v>293.89</v>
      </c>
      <c r="N496">
        <v>402.21</v>
      </c>
      <c r="O496" t="s">
        <v>42</v>
      </c>
      <c r="P496">
        <v>20.48</v>
      </c>
    </row>
    <row r="497" spans="1:16" x14ac:dyDescent="0.25">
      <c r="A497" t="s">
        <v>562</v>
      </c>
      <c r="B497" s="1">
        <v>40995</v>
      </c>
      <c r="C497">
        <v>2011</v>
      </c>
      <c r="D497" t="s">
        <v>31</v>
      </c>
      <c r="E497" t="s">
        <v>82</v>
      </c>
      <c r="F497" t="s">
        <v>38</v>
      </c>
      <c r="G497" t="s">
        <v>46</v>
      </c>
      <c r="H497">
        <v>42.4</v>
      </c>
      <c r="I497">
        <v>235.83</v>
      </c>
      <c r="J497">
        <v>5562.04</v>
      </c>
      <c r="K497" t="s">
        <v>40</v>
      </c>
      <c r="L497" t="s">
        <v>47</v>
      </c>
      <c r="M497">
        <v>271.60000000000002</v>
      </c>
      <c r="N497">
        <v>803.64</v>
      </c>
      <c r="O497" t="s">
        <v>61</v>
      </c>
      <c r="P497">
        <v>33.58</v>
      </c>
    </row>
    <row r="498" spans="1:16" x14ac:dyDescent="0.25">
      <c r="A498" t="s">
        <v>563</v>
      </c>
      <c r="B498" s="1">
        <v>40911</v>
      </c>
      <c r="C498">
        <v>2011</v>
      </c>
      <c r="D498" t="s">
        <v>44</v>
      </c>
      <c r="E498" t="s">
        <v>45</v>
      </c>
      <c r="F498" t="s">
        <v>38</v>
      </c>
      <c r="G498" t="s">
        <v>27</v>
      </c>
      <c r="H498">
        <v>49.43</v>
      </c>
      <c r="I498">
        <v>344.72</v>
      </c>
      <c r="J498">
        <v>6973.99</v>
      </c>
      <c r="K498" t="s">
        <v>28</v>
      </c>
      <c r="L498" t="s">
        <v>41</v>
      </c>
      <c r="M498">
        <v>259.25</v>
      </c>
      <c r="N498">
        <v>479.17</v>
      </c>
      <c r="O498" t="s">
        <v>52</v>
      </c>
      <c r="P498">
        <v>31.04</v>
      </c>
    </row>
    <row r="499" spans="1:16" x14ac:dyDescent="0.25">
      <c r="A499" t="s">
        <v>564</v>
      </c>
      <c r="B499" s="1">
        <v>43746</v>
      </c>
      <c r="C499">
        <v>2019</v>
      </c>
      <c r="D499" t="s">
        <v>31</v>
      </c>
      <c r="E499" t="s">
        <v>32</v>
      </c>
      <c r="F499" t="s">
        <v>33</v>
      </c>
      <c r="G499" t="s">
        <v>27</v>
      </c>
      <c r="H499">
        <v>94.68</v>
      </c>
      <c r="I499">
        <v>613.77</v>
      </c>
      <c r="J499">
        <v>6482.53</v>
      </c>
      <c r="K499" t="s">
        <v>21</v>
      </c>
      <c r="L499" t="s">
        <v>22</v>
      </c>
      <c r="M499">
        <v>154.44</v>
      </c>
      <c r="N499">
        <v>244.22</v>
      </c>
      <c r="O499" t="s">
        <v>52</v>
      </c>
      <c r="P499">
        <v>31</v>
      </c>
    </row>
    <row r="500" spans="1:16" x14ac:dyDescent="0.25">
      <c r="A500" t="s">
        <v>565</v>
      </c>
      <c r="B500" s="1">
        <v>42708</v>
      </c>
      <c r="C500">
        <v>2016</v>
      </c>
      <c r="D500" t="s">
        <v>36</v>
      </c>
      <c r="E500" t="s">
        <v>77</v>
      </c>
      <c r="F500" t="s">
        <v>38</v>
      </c>
      <c r="G500" t="s">
        <v>39</v>
      </c>
      <c r="H500">
        <v>82.31</v>
      </c>
      <c r="I500">
        <v>305.75</v>
      </c>
      <c r="J500">
        <v>3714.65</v>
      </c>
      <c r="K500" t="s">
        <v>40</v>
      </c>
      <c r="L500" t="s">
        <v>49</v>
      </c>
      <c r="M500">
        <v>70.77</v>
      </c>
      <c r="N500">
        <v>953.08</v>
      </c>
      <c r="O500" t="s">
        <v>52</v>
      </c>
      <c r="P500">
        <v>34.25</v>
      </c>
    </row>
    <row r="501" spans="1:16" x14ac:dyDescent="0.25">
      <c r="A501" t="s">
        <v>566</v>
      </c>
      <c r="B501" s="1">
        <v>44101</v>
      </c>
      <c r="C501">
        <v>2020</v>
      </c>
      <c r="D501" t="s">
        <v>31</v>
      </c>
      <c r="E501" t="s">
        <v>82</v>
      </c>
      <c r="F501" t="s">
        <v>33</v>
      </c>
      <c r="G501" t="s">
        <v>64</v>
      </c>
      <c r="H501">
        <v>48.5</v>
      </c>
      <c r="I501">
        <v>137.21</v>
      </c>
      <c r="J501">
        <v>2829.02</v>
      </c>
      <c r="K501" t="s">
        <v>28</v>
      </c>
      <c r="L501" t="s">
        <v>41</v>
      </c>
      <c r="M501">
        <v>264.48</v>
      </c>
      <c r="N501">
        <v>947.29</v>
      </c>
      <c r="O501" t="s">
        <v>23</v>
      </c>
      <c r="P501">
        <v>34.65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0E39-2125-4C0C-A21D-BBD25ECBF7B2}">
  <dimension ref="A3:G34"/>
  <sheetViews>
    <sheetView workbookViewId="0">
      <selection activeCell="H2" sqref="H2:I3"/>
    </sheetView>
  </sheetViews>
  <sheetFormatPr defaultRowHeight="15" x14ac:dyDescent="0.25"/>
  <cols>
    <col min="1" max="1" width="13.140625" bestFit="1" customWidth="1"/>
    <col min="2" max="2" width="23.140625" bestFit="1" customWidth="1"/>
    <col min="3" max="3" width="26.140625" bestFit="1" customWidth="1"/>
    <col min="6" max="6" width="13.140625" bestFit="1" customWidth="1"/>
    <col min="7" max="7" width="23.140625" bestFit="1" customWidth="1"/>
    <col min="8" max="8" width="26.140625" bestFit="1" customWidth="1"/>
  </cols>
  <sheetData>
    <row r="3" spans="1:7" x14ac:dyDescent="0.25">
      <c r="A3" s="3" t="s">
        <v>573</v>
      </c>
      <c r="B3" t="s">
        <v>575</v>
      </c>
      <c r="F3" s="3" t="s">
        <v>573</v>
      </c>
      <c r="G3" t="s">
        <v>576</v>
      </c>
    </row>
    <row r="4" spans="1:7" x14ac:dyDescent="0.25">
      <c r="A4" s="4" t="s">
        <v>59</v>
      </c>
      <c r="B4">
        <v>4017.4552631578936</v>
      </c>
      <c r="F4" s="4" t="s">
        <v>39</v>
      </c>
      <c r="G4">
        <v>18521.37</v>
      </c>
    </row>
    <row r="5" spans="1:7" x14ac:dyDescent="0.25">
      <c r="A5" s="4" t="s">
        <v>103</v>
      </c>
      <c r="B5">
        <v>3753.185526315789</v>
      </c>
      <c r="F5" s="4" t="s">
        <v>20</v>
      </c>
      <c r="G5">
        <v>15817.539999999999</v>
      </c>
    </row>
    <row r="6" spans="1:7" x14ac:dyDescent="0.25">
      <c r="A6" s="4" t="s">
        <v>36</v>
      </c>
      <c r="B6">
        <v>4265.956666666666</v>
      </c>
      <c r="F6" s="4" t="s">
        <v>27</v>
      </c>
      <c r="G6">
        <v>17292.79</v>
      </c>
    </row>
    <row r="7" spans="1:7" x14ac:dyDescent="0.25">
      <c r="A7" s="4" t="s">
        <v>31</v>
      </c>
      <c r="B7">
        <v>3957.2872151898741</v>
      </c>
      <c r="F7" s="4" t="s">
        <v>56</v>
      </c>
      <c r="G7">
        <v>13759.390000000001</v>
      </c>
    </row>
    <row r="8" spans="1:7" x14ac:dyDescent="0.25">
      <c r="A8" s="4" t="s">
        <v>25</v>
      </c>
      <c r="B8">
        <v>3698.6055405405391</v>
      </c>
      <c r="F8" s="4" t="s">
        <v>46</v>
      </c>
      <c r="G8">
        <v>17383.849999999995</v>
      </c>
    </row>
    <row r="9" spans="1:7" x14ac:dyDescent="0.25">
      <c r="A9" s="4" t="s">
        <v>17</v>
      </c>
      <c r="B9">
        <v>4212.8542647058812</v>
      </c>
      <c r="F9" s="4" t="s">
        <v>64</v>
      </c>
      <c r="G9">
        <v>15584.49</v>
      </c>
    </row>
    <row r="10" spans="1:7" x14ac:dyDescent="0.25">
      <c r="A10" s="4" t="s">
        <v>44</v>
      </c>
      <c r="B10">
        <v>4154.7011428571413</v>
      </c>
      <c r="F10" s="4" t="s">
        <v>574</v>
      </c>
      <c r="G10">
        <v>98359.43</v>
      </c>
    </row>
    <row r="11" spans="1:7" x14ac:dyDescent="0.25">
      <c r="A11" s="4" t="s">
        <v>574</v>
      </c>
      <c r="B11">
        <v>3994.7078000000006</v>
      </c>
    </row>
    <row r="13" spans="1:7" x14ac:dyDescent="0.25">
      <c r="A13" s="3" t="s">
        <v>573</v>
      </c>
      <c r="B13" t="s">
        <v>575</v>
      </c>
      <c r="F13" s="3" t="s">
        <v>573</v>
      </c>
      <c r="G13" t="s">
        <v>575</v>
      </c>
    </row>
    <row r="14" spans="1:7" x14ac:dyDescent="0.25">
      <c r="A14" s="4" t="s">
        <v>33</v>
      </c>
      <c r="B14">
        <v>4026.2509677419334</v>
      </c>
      <c r="F14" s="4" t="s">
        <v>569</v>
      </c>
      <c r="G14">
        <v>4083.2580821917818</v>
      </c>
    </row>
    <row r="15" spans="1:7" x14ac:dyDescent="0.25">
      <c r="A15" s="4" t="s">
        <v>38</v>
      </c>
      <c r="B15">
        <v>4213.0431395348824</v>
      </c>
      <c r="F15" s="4" t="s">
        <v>568</v>
      </c>
      <c r="G15">
        <v>3878.0412844036691</v>
      </c>
    </row>
    <row r="16" spans="1:7" x14ac:dyDescent="0.25">
      <c r="A16" s="4" t="s">
        <v>19</v>
      </c>
      <c r="B16">
        <v>3749.3732947976869</v>
      </c>
      <c r="F16" s="4" t="s">
        <v>571</v>
      </c>
      <c r="G16">
        <v>4265.956666666666</v>
      </c>
    </row>
    <row r="17" spans="1:7" x14ac:dyDescent="0.25">
      <c r="A17" s="4" t="s">
        <v>574</v>
      </c>
      <c r="B17">
        <v>3994.7078000000024</v>
      </c>
      <c r="F17" s="4" t="s">
        <v>570</v>
      </c>
      <c r="G17">
        <v>3957.2872151898741</v>
      </c>
    </row>
    <row r="18" spans="1:7" x14ac:dyDescent="0.25">
      <c r="F18" s="4" t="s">
        <v>574</v>
      </c>
      <c r="G18">
        <v>3994.7078000000029</v>
      </c>
    </row>
    <row r="19" spans="1:7" x14ac:dyDescent="0.25">
      <c r="A19" s="3" t="s">
        <v>573</v>
      </c>
      <c r="B19" t="s">
        <v>575</v>
      </c>
    </row>
    <row r="20" spans="1:7" x14ac:dyDescent="0.25">
      <c r="A20" s="4" t="s">
        <v>40</v>
      </c>
      <c r="B20">
        <v>4087.0963157894748</v>
      </c>
      <c r="F20" s="3" t="s">
        <v>573</v>
      </c>
      <c r="G20" t="s">
        <v>575</v>
      </c>
    </row>
    <row r="21" spans="1:7" x14ac:dyDescent="0.25">
      <c r="A21" s="4" t="s">
        <v>21</v>
      </c>
      <c r="B21">
        <v>4089.9497435897438</v>
      </c>
      <c r="F21" s="4">
        <v>2010</v>
      </c>
      <c r="G21">
        <v>3824.8065714285717</v>
      </c>
    </row>
    <row r="22" spans="1:7" x14ac:dyDescent="0.25">
      <c r="A22" s="4" t="s">
        <v>28</v>
      </c>
      <c r="B22">
        <v>3931.9300775193801</v>
      </c>
      <c r="F22" s="4">
        <v>2011</v>
      </c>
      <c r="G22">
        <v>3980.9126666666662</v>
      </c>
    </row>
    <row r="23" spans="1:7" x14ac:dyDescent="0.25">
      <c r="A23" s="4" t="s">
        <v>34</v>
      </c>
      <c r="B23">
        <v>3897.7272857142862</v>
      </c>
      <c r="F23" s="4">
        <v>2012</v>
      </c>
      <c r="G23">
        <v>4467.994999999999</v>
      </c>
    </row>
    <row r="24" spans="1:7" x14ac:dyDescent="0.25">
      <c r="A24" s="4" t="s">
        <v>574</v>
      </c>
      <c r="B24">
        <v>3994.7078000000042</v>
      </c>
      <c r="F24" s="4">
        <v>2013</v>
      </c>
      <c r="G24">
        <v>3910.6315789473679</v>
      </c>
    </row>
    <row r="25" spans="1:7" x14ac:dyDescent="0.25">
      <c r="F25" s="4">
        <v>2014</v>
      </c>
      <c r="G25">
        <v>4056.8628124999996</v>
      </c>
    </row>
    <row r="26" spans="1:7" x14ac:dyDescent="0.25">
      <c r="F26" s="4">
        <v>2015</v>
      </c>
      <c r="G26">
        <v>3556.6869696969698</v>
      </c>
    </row>
    <row r="27" spans="1:7" x14ac:dyDescent="0.25">
      <c r="F27" s="4">
        <v>2016</v>
      </c>
      <c r="G27">
        <v>3841.5836111111098</v>
      </c>
    </row>
    <row r="28" spans="1:7" x14ac:dyDescent="0.25">
      <c r="F28" s="4">
        <v>2017</v>
      </c>
      <c r="G28">
        <v>4195.8465000000006</v>
      </c>
    </row>
    <row r="29" spans="1:7" x14ac:dyDescent="0.25">
      <c r="F29" s="4">
        <v>2018</v>
      </c>
      <c r="G29">
        <v>4452.1252380952374</v>
      </c>
    </row>
    <row r="30" spans="1:7" x14ac:dyDescent="0.25">
      <c r="F30" s="4">
        <v>2019</v>
      </c>
      <c r="G30">
        <v>4188.12</v>
      </c>
    </row>
    <row r="31" spans="1:7" x14ac:dyDescent="0.25">
      <c r="F31" s="4">
        <v>2020</v>
      </c>
      <c r="G31">
        <v>3978.661025641024</v>
      </c>
    </row>
    <row r="32" spans="1:7" x14ac:dyDescent="0.25">
      <c r="F32" s="4">
        <v>2021</v>
      </c>
      <c r="G32">
        <v>3716.9824390243903</v>
      </c>
    </row>
    <row r="33" spans="6:7" x14ac:dyDescent="0.25">
      <c r="F33" s="4">
        <v>2022</v>
      </c>
      <c r="G33">
        <v>3738.0051063829778</v>
      </c>
    </row>
    <row r="34" spans="6:7" x14ac:dyDescent="0.25">
      <c r="F34" s="4" t="s">
        <v>574</v>
      </c>
      <c r="G34">
        <v>3994.7078000000024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756B-9788-41A8-9B87-73107BCF577A}">
  <dimension ref="A1:U501"/>
  <sheetViews>
    <sheetView topLeftCell="S1" workbookViewId="0">
      <selection activeCell="Y9" sqref="Y9"/>
    </sheetView>
  </sheetViews>
  <sheetFormatPr defaultRowHeight="15" x14ac:dyDescent="0.25"/>
  <cols>
    <col min="1" max="1" width="7.42578125" bestFit="1" customWidth="1"/>
    <col min="2" max="2" width="10.7109375" bestFit="1" customWidth="1"/>
    <col min="4" max="4" width="13.140625" bestFit="1" customWidth="1"/>
    <col min="6" max="6" width="10.140625" bestFit="1" customWidth="1"/>
    <col min="7" max="7" width="7.28515625" bestFit="1" customWidth="1"/>
    <col min="8" max="8" width="10.85546875" bestFit="1" customWidth="1"/>
    <col min="9" max="9" width="14.85546875" bestFit="1" customWidth="1"/>
    <col min="10" max="10" width="19.28515625" bestFit="1" customWidth="1"/>
    <col min="11" max="11" width="12.5703125" bestFit="1" customWidth="1"/>
    <col min="12" max="12" width="13.85546875" bestFit="1" customWidth="1"/>
    <col min="13" max="13" width="14" bestFit="1" customWidth="1"/>
    <col min="14" max="14" width="14.140625" bestFit="1" customWidth="1"/>
    <col min="15" max="15" width="18.140625" bestFit="1" customWidth="1"/>
    <col min="16" max="16" width="13.140625" bestFit="1" customWidth="1"/>
    <col min="17" max="17" width="9" bestFit="1" customWidth="1"/>
    <col min="18" max="18" width="21" bestFit="1" customWidth="1"/>
    <col min="20" max="20" width="13.140625" bestFit="1" customWidth="1"/>
  </cols>
  <sheetData>
    <row r="1" spans="1:21" x14ac:dyDescent="0.25">
      <c r="A1" t="s">
        <v>0</v>
      </c>
      <c r="B1" t="s">
        <v>1</v>
      </c>
      <c r="C1" t="s">
        <v>2</v>
      </c>
      <c r="D1" t="s">
        <v>3</v>
      </c>
      <c r="E1" t="s">
        <v>567</v>
      </c>
      <c r="F1" t="s">
        <v>4</v>
      </c>
      <c r="G1" t="s">
        <v>5</v>
      </c>
      <c r="H1" t="s">
        <v>6</v>
      </c>
      <c r="I1" t="s">
        <v>7</v>
      </c>
      <c r="J1" t="s">
        <v>8</v>
      </c>
      <c r="K1" t="s">
        <v>9</v>
      </c>
      <c r="L1" t="s">
        <v>572</v>
      </c>
      <c r="M1" t="s">
        <v>10</v>
      </c>
      <c r="N1" t="s">
        <v>11</v>
      </c>
      <c r="O1" t="s">
        <v>12</v>
      </c>
      <c r="P1" t="s">
        <v>13</v>
      </c>
      <c r="Q1" t="s">
        <v>14</v>
      </c>
      <c r="R1" t="s">
        <v>15</v>
      </c>
      <c r="T1" t="s">
        <v>3</v>
      </c>
      <c r="U1" t="s">
        <v>567</v>
      </c>
    </row>
    <row r="2" spans="1:21" x14ac:dyDescent="0.25">
      <c r="A2" t="s">
        <v>16</v>
      </c>
      <c r="B2" s="1">
        <v>40271</v>
      </c>
      <c r="C2">
        <v>2010</v>
      </c>
      <c r="D2" t="s">
        <v>17</v>
      </c>
      <c r="E2" t="str">
        <f>INDEX($U$2:$U$8,MATCH(D2,$T$2:$T$8,0))</f>
        <v>North</v>
      </c>
      <c r="F2" t="s">
        <v>18</v>
      </c>
      <c r="G2" t="s">
        <v>19</v>
      </c>
      <c r="H2" t="s">
        <v>20</v>
      </c>
      <c r="I2">
        <v>25.24</v>
      </c>
      <c r="J2">
        <v>46.37</v>
      </c>
      <c r="K2">
        <v>1837.23</v>
      </c>
      <c r="L2" t="str">
        <f>IF(K2&gt;=5000,"High",IF(K2&gt;=3000,"Medium","Low"))</f>
        <v>Low</v>
      </c>
      <c r="M2" t="s">
        <v>21</v>
      </c>
      <c r="N2" t="s">
        <v>22</v>
      </c>
      <c r="O2">
        <v>219.17</v>
      </c>
      <c r="P2">
        <v>1092.18</v>
      </c>
      <c r="Q2" t="s">
        <v>23</v>
      </c>
      <c r="R2">
        <v>28.86</v>
      </c>
      <c r="T2" t="s">
        <v>25</v>
      </c>
      <c r="U2" t="s">
        <v>568</v>
      </c>
    </row>
    <row r="3" spans="1:21" x14ac:dyDescent="0.25">
      <c r="A3" t="s">
        <v>24</v>
      </c>
      <c r="B3" s="1">
        <v>41375</v>
      </c>
      <c r="C3">
        <v>2013</v>
      </c>
      <c r="D3" t="s">
        <v>25</v>
      </c>
      <c r="E3" t="str">
        <f t="shared" ref="E3:E66" si="0">INDEX($U$2:$U$8,MATCH(D3,$T$2:$T$8,0))</f>
        <v>North</v>
      </c>
      <c r="F3" t="s">
        <v>26</v>
      </c>
      <c r="G3" t="s">
        <v>19</v>
      </c>
      <c r="H3" t="s">
        <v>27</v>
      </c>
      <c r="I3">
        <v>3.63</v>
      </c>
      <c r="J3">
        <v>7.96</v>
      </c>
      <c r="K3">
        <v>2193.0300000000002</v>
      </c>
      <c r="L3" t="str">
        <f t="shared" ref="L3:L66" si="1">IF(K3&gt;=5000,"High",IF(K3&gt;=3000,"Medium","Low"))</f>
        <v>Low</v>
      </c>
      <c r="M3" t="s">
        <v>28</v>
      </c>
      <c r="N3" t="s">
        <v>29</v>
      </c>
      <c r="O3">
        <v>105.11</v>
      </c>
      <c r="P3">
        <v>789.27</v>
      </c>
      <c r="Q3" t="s">
        <v>23</v>
      </c>
      <c r="R3">
        <v>31.38</v>
      </c>
      <c r="T3" t="s">
        <v>103</v>
      </c>
      <c r="U3" t="s">
        <v>568</v>
      </c>
    </row>
    <row r="4" spans="1:21" x14ac:dyDescent="0.25">
      <c r="A4" t="s">
        <v>30</v>
      </c>
      <c r="B4" s="1">
        <v>41198</v>
      </c>
      <c r="C4">
        <v>2012</v>
      </c>
      <c r="D4" t="s">
        <v>31</v>
      </c>
      <c r="E4" t="str">
        <f t="shared" si="0"/>
        <v>West</v>
      </c>
      <c r="F4" t="s">
        <v>32</v>
      </c>
      <c r="G4" t="s">
        <v>33</v>
      </c>
      <c r="H4" t="s">
        <v>20</v>
      </c>
      <c r="I4">
        <v>11.12</v>
      </c>
      <c r="J4">
        <v>36.47</v>
      </c>
      <c r="K4">
        <v>3279.56</v>
      </c>
      <c r="L4" t="str">
        <f t="shared" si="1"/>
        <v>Medium</v>
      </c>
      <c r="M4" t="s">
        <v>34</v>
      </c>
      <c r="N4" t="s">
        <v>22</v>
      </c>
      <c r="O4">
        <v>261.87</v>
      </c>
      <c r="P4">
        <v>803.73</v>
      </c>
      <c r="Q4" t="s">
        <v>23</v>
      </c>
      <c r="R4">
        <v>30.95</v>
      </c>
      <c r="T4" t="s">
        <v>17</v>
      </c>
      <c r="U4" t="s">
        <v>568</v>
      </c>
    </row>
    <row r="5" spans="1:21" x14ac:dyDescent="0.25">
      <c r="A5" t="s">
        <v>35</v>
      </c>
      <c r="B5" s="1">
        <v>43425</v>
      </c>
      <c r="C5">
        <v>2018</v>
      </c>
      <c r="D5" t="s">
        <v>36</v>
      </c>
      <c r="E5" t="str">
        <f t="shared" si="0"/>
        <v>South</v>
      </c>
      <c r="F5" t="s">
        <v>37</v>
      </c>
      <c r="G5" t="s">
        <v>38</v>
      </c>
      <c r="H5" t="s">
        <v>39</v>
      </c>
      <c r="I5">
        <v>62.23</v>
      </c>
      <c r="J5">
        <v>383.97</v>
      </c>
      <c r="K5">
        <v>6170.24</v>
      </c>
      <c r="L5" t="str">
        <f t="shared" si="1"/>
        <v>High</v>
      </c>
      <c r="M5" t="s">
        <v>40</v>
      </c>
      <c r="N5" t="s">
        <v>41</v>
      </c>
      <c r="O5">
        <v>226.14</v>
      </c>
      <c r="P5">
        <v>245.82</v>
      </c>
      <c r="Q5" t="s">
        <v>42</v>
      </c>
      <c r="R5">
        <v>31.6</v>
      </c>
      <c r="T5" t="s">
        <v>59</v>
      </c>
      <c r="U5" t="s">
        <v>569</v>
      </c>
    </row>
    <row r="6" spans="1:21" x14ac:dyDescent="0.25">
      <c r="A6" t="s">
        <v>43</v>
      </c>
      <c r="B6" s="1">
        <v>42718</v>
      </c>
      <c r="C6">
        <v>2016</v>
      </c>
      <c r="D6" t="s">
        <v>44</v>
      </c>
      <c r="E6" t="str">
        <f t="shared" si="0"/>
        <v>East</v>
      </c>
      <c r="F6" t="s">
        <v>45</v>
      </c>
      <c r="G6" t="s">
        <v>38</v>
      </c>
      <c r="H6" t="s">
        <v>46</v>
      </c>
      <c r="I6">
        <v>63.93</v>
      </c>
      <c r="J6">
        <v>203.87</v>
      </c>
      <c r="K6">
        <v>3188.99</v>
      </c>
      <c r="L6" t="str">
        <f t="shared" si="1"/>
        <v>Medium</v>
      </c>
      <c r="M6" t="s">
        <v>34</v>
      </c>
      <c r="N6" t="s">
        <v>47</v>
      </c>
      <c r="O6">
        <v>138.82</v>
      </c>
      <c r="P6">
        <v>870.18</v>
      </c>
      <c r="Q6" t="s">
        <v>23</v>
      </c>
      <c r="R6">
        <v>29.14</v>
      </c>
      <c r="T6" t="s">
        <v>44</v>
      </c>
      <c r="U6" t="s">
        <v>569</v>
      </c>
    </row>
    <row r="7" spans="1:21" x14ac:dyDescent="0.25">
      <c r="A7" t="s">
        <v>48</v>
      </c>
      <c r="B7" s="1">
        <v>41222</v>
      </c>
      <c r="C7">
        <v>2012</v>
      </c>
      <c r="D7" t="s">
        <v>17</v>
      </c>
      <c r="E7" t="str">
        <f t="shared" si="0"/>
        <v>North</v>
      </c>
      <c r="F7" t="s">
        <v>18</v>
      </c>
      <c r="G7" t="s">
        <v>38</v>
      </c>
      <c r="H7" t="s">
        <v>46</v>
      </c>
      <c r="I7">
        <v>27.72</v>
      </c>
      <c r="J7">
        <v>181.63</v>
      </c>
      <c r="K7">
        <v>6552.35</v>
      </c>
      <c r="L7" t="str">
        <f t="shared" si="1"/>
        <v>High</v>
      </c>
      <c r="M7" t="s">
        <v>40</v>
      </c>
      <c r="N7" t="s">
        <v>49</v>
      </c>
      <c r="O7">
        <v>221.15</v>
      </c>
      <c r="P7">
        <v>1042.8499999999999</v>
      </c>
      <c r="Q7" t="s">
        <v>23</v>
      </c>
      <c r="R7">
        <v>23.44</v>
      </c>
      <c r="T7" t="s">
        <v>31</v>
      </c>
      <c r="U7" t="s">
        <v>570</v>
      </c>
    </row>
    <row r="8" spans="1:21" x14ac:dyDescent="0.25">
      <c r="A8" t="s">
        <v>50</v>
      </c>
      <c r="B8" s="1">
        <v>40730</v>
      </c>
      <c r="C8">
        <v>2011</v>
      </c>
      <c r="D8" t="s">
        <v>36</v>
      </c>
      <c r="E8" t="str">
        <f t="shared" si="0"/>
        <v>South</v>
      </c>
      <c r="F8" t="s">
        <v>51</v>
      </c>
      <c r="G8" t="s">
        <v>33</v>
      </c>
      <c r="H8" t="s">
        <v>27</v>
      </c>
      <c r="I8">
        <v>87.76</v>
      </c>
      <c r="J8">
        <v>253.46</v>
      </c>
      <c r="K8">
        <v>2888.07</v>
      </c>
      <c r="L8" t="str">
        <f t="shared" si="1"/>
        <v>Low</v>
      </c>
      <c r="M8" t="s">
        <v>28</v>
      </c>
      <c r="N8" t="s">
        <v>41</v>
      </c>
      <c r="O8">
        <v>148.91</v>
      </c>
      <c r="P8">
        <v>1114.55</v>
      </c>
      <c r="Q8" t="s">
        <v>52</v>
      </c>
      <c r="R8">
        <v>22.14</v>
      </c>
      <c r="T8" t="s">
        <v>36</v>
      </c>
      <c r="U8" t="s">
        <v>571</v>
      </c>
    </row>
    <row r="9" spans="1:21" x14ac:dyDescent="0.25">
      <c r="A9" t="s">
        <v>53</v>
      </c>
      <c r="B9" s="1">
        <v>43428</v>
      </c>
      <c r="C9">
        <v>2018</v>
      </c>
      <c r="D9" t="s">
        <v>17</v>
      </c>
      <c r="E9" t="str">
        <f t="shared" si="0"/>
        <v>North</v>
      </c>
      <c r="F9" t="s">
        <v>54</v>
      </c>
      <c r="G9" t="s">
        <v>38</v>
      </c>
      <c r="H9" t="s">
        <v>39</v>
      </c>
      <c r="I9">
        <v>58.87</v>
      </c>
      <c r="J9">
        <v>376</v>
      </c>
      <c r="K9">
        <v>6386.94</v>
      </c>
      <c r="L9" t="str">
        <f t="shared" si="1"/>
        <v>High</v>
      </c>
      <c r="M9" t="s">
        <v>28</v>
      </c>
      <c r="N9" t="s">
        <v>22</v>
      </c>
      <c r="O9">
        <v>140.5</v>
      </c>
      <c r="P9">
        <v>1197.33</v>
      </c>
      <c r="Q9" t="s">
        <v>42</v>
      </c>
      <c r="R9">
        <v>27.64</v>
      </c>
    </row>
    <row r="10" spans="1:21" x14ac:dyDescent="0.25">
      <c r="A10" t="s">
        <v>55</v>
      </c>
      <c r="B10" s="1">
        <v>41035</v>
      </c>
      <c r="C10">
        <v>2012</v>
      </c>
      <c r="D10" t="s">
        <v>44</v>
      </c>
      <c r="E10" t="str">
        <f t="shared" si="0"/>
        <v>East</v>
      </c>
      <c r="F10" t="s">
        <v>45</v>
      </c>
      <c r="G10" t="s">
        <v>19</v>
      </c>
      <c r="H10" t="s">
        <v>56</v>
      </c>
      <c r="I10">
        <v>79.42</v>
      </c>
      <c r="J10">
        <v>280.58999999999997</v>
      </c>
      <c r="K10">
        <v>3532.96</v>
      </c>
      <c r="L10" t="str">
        <f t="shared" si="1"/>
        <v>Medium</v>
      </c>
      <c r="M10" t="s">
        <v>21</v>
      </c>
      <c r="N10" t="s">
        <v>22</v>
      </c>
      <c r="O10">
        <v>146.19</v>
      </c>
      <c r="P10">
        <v>795.89</v>
      </c>
      <c r="Q10" t="s">
        <v>52</v>
      </c>
      <c r="R10">
        <v>27.94</v>
      </c>
    </row>
    <row r="11" spans="1:21" x14ac:dyDescent="0.25">
      <c r="A11" t="s">
        <v>57</v>
      </c>
      <c r="B11" s="1">
        <v>40680</v>
      </c>
      <c r="C11">
        <v>2011</v>
      </c>
      <c r="D11" t="s">
        <v>17</v>
      </c>
      <c r="E11" t="str">
        <f t="shared" si="0"/>
        <v>North</v>
      </c>
      <c r="F11" t="s">
        <v>54</v>
      </c>
      <c r="G11" t="s">
        <v>19</v>
      </c>
      <c r="H11" t="s">
        <v>27</v>
      </c>
      <c r="I11">
        <v>75.34</v>
      </c>
      <c r="J11">
        <v>422.78</v>
      </c>
      <c r="K11">
        <v>5611.59</v>
      </c>
      <c r="L11" t="str">
        <f t="shared" si="1"/>
        <v>High</v>
      </c>
      <c r="M11" t="s">
        <v>34</v>
      </c>
      <c r="N11" t="s">
        <v>49</v>
      </c>
      <c r="O11">
        <v>77.89</v>
      </c>
      <c r="P11">
        <v>634.77</v>
      </c>
      <c r="Q11" t="s">
        <v>52</v>
      </c>
      <c r="R11">
        <v>20.05</v>
      </c>
    </row>
    <row r="12" spans="1:21" x14ac:dyDescent="0.25">
      <c r="A12" t="s">
        <v>58</v>
      </c>
      <c r="B12" s="1">
        <v>43387</v>
      </c>
      <c r="C12">
        <v>2018</v>
      </c>
      <c r="D12" t="s">
        <v>59</v>
      </c>
      <c r="E12" t="str">
        <f t="shared" si="0"/>
        <v>East</v>
      </c>
      <c r="F12" t="s">
        <v>60</v>
      </c>
      <c r="G12" t="s">
        <v>33</v>
      </c>
      <c r="H12" t="s">
        <v>39</v>
      </c>
      <c r="I12">
        <v>30.55</v>
      </c>
      <c r="J12">
        <v>147.66999999999999</v>
      </c>
      <c r="K12">
        <v>4833.7</v>
      </c>
      <c r="L12" t="str">
        <f t="shared" si="1"/>
        <v>Medium</v>
      </c>
      <c r="M12" t="s">
        <v>40</v>
      </c>
      <c r="N12" t="s">
        <v>22</v>
      </c>
      <c r="O12">
        <v>88.21</v>
      </c>
      <c r="P12">
        <v>962.51</v>
      </c>
      <c r="Q12" t="s">
        <v>61</v>
      </c>
      <c r="R12">
        <v>34.299999999999997</v>
      </c>
    </row>
    <row r="13" spans="1:21" x14ac:dyDescent="0.25">
      <c r="A13" t="s">
        <v>62</v>
      </c>
      <c r="B13" s="1">
        <v>42908</v>
      </c>
      <c r="C13">
        <v>2017</v>
      </c>
      <c r="D13" t="s">
        <v>59</v>
      </c>
      <c r="E13" t="str">
        <f t="shared" si="0"/>
        <v>East</v>
      </c>
      <c r="F13" t="s">
        <v>63</v>
      </c>
      <c r="G13" t="s">
        <v>33</v>
      </c>
      <c r="H13" t="s">
        <v>64</v>
      </c>
      <c r="I13">
        <v>92.98</v>
      </c>
      <c r="J13">
        <v>583.20000000000005</v>
      </c>
      <c r="K13">
        <v>6272.33</v>
      </c>
      <c r="L13" t="str">
        <f t="shared" si="1"/>
        <v>High</v>
      </c>
      <c r="M13" t="s">
        <v>34</v>
      </c>
      <c r="N13" t="s">
        <v>29</v>
      </c>
      <c r="O13">
        <v>109.86</v>
      </c>
      <c r="P13">
        <v>440.87</v>
      </c>
      <c r="Q13" t="s">
        <v>61</v>
      </c>
      <c r="R13">
        <v>34.200000000000003</v>
      </c>
    </row>
    <row r="14" spans="1:21" x14ac:dyDescent="0.25">
      <c r="A14" t="s">
        <v>65</v>
      </c>
      <c r="B14" s="1">
        <v>44711</v>
      </c>
      <c r="C14">
        <v>2022</v>
      </c>
      <c r="D14" t="s">
        <v>44</v>
      </c>
      <c r="E14" t="str">
        <f t="shared" si="0"/>
        <v>East</v>
      </c>
      <c r="F14" t="s">
        <v>45</v>
      </c>
      <c r="G14" t="s">
        <v>19</v>
      </c>
      <c r="H14" t="s">
        <v>56</v>
      </c>
      <c r="I14">
        <v>13.71</v>
      </c>
      <c r="J14">
        <v>52.81</v>
      </c>
      <c r="K14">
        <v>3851.69</v>
      </c>
      <c r="L14" t="str">
        <f t="shared" si="1"/>
        <v>Medium</v>
      </c>
      <c r="M14" t="s">
        <v>40</v>
      </c>
      <c r="N14" t="s">
        <v>47</v>
      </c>
      <c r="O14">
        <v>116.26</v>
      </c>
      <c r="P14">
        <v>1072.43</v>
      </c>
      <c r="Q14" t="s">
        <v>52</v>
      </c>
      <c r="R14">
        <v>34.47</v>
      </c>
    </row>
    <row r="15" spans="1:21" x14ac:dyDescent="0.25">
      <c r="A15" t="s">
        <v>66</v>
      </c>
      <c r="B15" s="1">
        <v>44364</v>
      </c>
      <c r="C15">
        <v>2021</v>
      </c>
      <c r="D15" t="s">
        <v>44</v>
      </c>
      <c r="E15" t="str">
        <f t="shared" si="0"/>
        <v>East</v>
      </c>
      <c r="F15" t="s">
        <v>67</v>
      </c>
      <c r="G15" t="s">
        <v>33</v>
      </c>
      <c r="H15" t="s">
        <v>39</v>
      </c>
      <c r="I15">
        <v>31.86</v>
      </c>
      <c r="J15">
        <v>222.09</v>
      </c>
      <c r="K15">
        <v>6970.9</v>
      </c>
      <c r="L15" t="str">
        <f t="shared" si="1"/>
        <v>High</v>
      </c>
      <c r="M15" t="s">
        <v>34</v>
      </c>
      <c r="N15" t="s">
        <v>49</v>
      </c>
      <c r="O15">
        <v>159.53</v>
      </c>
      <c r="P15">
        <v>717.58</v>
      </c>
      <c r="Q15" t="s">
        <v>23</v>
      </c>
      <c r="R15">
        <v>23.72</v>
      </c>
    </row>
    <row r="16" spans="1:21" x14ac:dyDescent="0.25">
      <c r="A16" t="s">
        <v>68</v>
      </c>
      <c r="B16" s="1">
        <v>43312</v>
      </c>
      <c r="C16">
        <v>2018</v>
      </c>
      <c r="D16" t="s">
        <v>25</v>
      </c>
      <c r="E16" t="str">
        <f t="shared" si="0"/>
        <v>North</v>
      </c>
      <c r="F16" t="s">
        <v>69</v>
      </c>
      <c r="G16" t="s">
        <v>33</v>
      </c>
      <c r="H16" t="s">
        <v>27</v>
      </c>
      <c r="I16">
        <v>22.8</v>
      </c>
      <c r="J16">
        <v>32.51</v>
      </c>
      <c r="K16">
        <v>1425.96</v>
      </c>
      <c r="L16" t="str">
        <f t="shared" si="1"/>
        <v>Low</v>
      </c>
      <c r="M16" t="s">
        <v>21</v>
      </c>
      <c r="N16" t="s">
        <v>49</v>
      </c>
      <c r="O16">
        <v>107.24</v>
      </c>
      <c r="P16">
        <v>1105.42</v>
      </c>
      <c r="Q16" t="s">
        <v>70</v>
      </c>
      <c r="R16">
        <v>21.06</v>
      </c>
    </row>
    <row r="17" spans="1:18" x14ac:dyDescent="0.25">
      <c r="A17" t="s">
        <v>71</v>
      </c>
      <c r="B17" s="1">
        <v>41371</v>
      </c>
      <c r="C17">
        <v>2013</v>
      </c>
      <c r="D17" t="s">
        <v>17</v>
      </c>
      <c r="E17" t="str">
        <f t="shared" si="0"/>
        <v>North</v>
      </c>
      <c r="F17" t="s">
        <v>72</v>
      </c>
      <c r="G17" t="s">
        <v>19</v>
      </c>
      <c r="H17" t="s">
        <v>56</v>
      </c>
      <c r="I17">
        <v>72.61</v>
      </c>
      <c r="J17">
        <v>457.03</v>
      </c>
      <c r="K17">
        <v>6294.3</v>
      </c>
      <c r="L17" t="str">
        <f t="shared" si="1"/>
        <v>High</v>
      </c>
      <c r="M17" t="s">
        <v>28</v>
      </c>
      <c r="N17" t="s">
        <v>29</v>
      </c>
      <c r="O17">
        <v>110.75</v>
      </c>
      <c r="P17">
        <v>672.97</v>
      </c>
      <c r="Q17" t="s">
        <v>52</v>
      </c>
      <c r="R17">
        <v>22.86</v>
      </c>
    </row>
    <row r="18" spans="1:18" x14ac:dyDescent="0.25">
      <c r="A18" t="s">
        <v>73</v>
      </c>
      <c r="B18" s="1">
        <v>42723</v>
      </c>
      <c r="C18">
        <v>2016</v>
      </c>
      <c r="D18" t="s">
        <v>31</v>
      </c>
      <c r="E18" t="str">
        <f t="shared" si="0"/>
        <v>West</v>
      </c>
      <c r="F18" t="s">
        <v>32</v>
      </c>
      <c r="G18" t="s">
        <v>38</v>
      </c>
      <c r="H18" t="s">
        <v>39</v>
      </c>
      <c r="I18">
        <v>6.36</v>
      </c>
      <c r="J18">
        <v>31.3</v>
      </c>
      <c r="K18">
        <v>4920.7299999999996</v>
      </c>
      <c r="L18" t="str">
        <f t="shared" si="1"/>
        <v>Medium</v>
      </c>
      <c r="M18" t="s">
        <v>21</v>
      </c>
      <c r="N18" t="s">
        <v>47</v>
      </c>
      <c r="O18">
        <v>65.150000000000006</v>
      </c>
      <c r="P18">
        <v>928.21</v>
      </c>
      <c r="Q18" t="s">
        <v>23</v>
      </c>
      <c r="R18">
        <v>23.73</v>
      </c>
    </row>
    <row r="19" spans="1:18" x14ac:dyDescent="0.25">
      <c r="A19" t="s">
        <v>74</v>
      </c>
      <c r="B19" s="1">
        <v>42660</v>
      </c>
      <c r="C19">
        <v>2016</v>
      </c>
      <c r="D19" t="s">
        <v>36</v>
      </c>
      <c r="E19" t="str">
        <f t="shared" si="0"/>
        <v>South</v>
      </c>
      <c r="F19" t="s">
        <v>37</v>
      </c>
      <c r="G19" t="s">
        <v>33</v>
      </c>
      <c r="H19" t="s">
        <v>20</v>
      </c>
      <c r="I19">
        <v>46.8</v>
      </c>
      <c r="J19">
        <v>292.36</v>
      </c>
      <c r="K19">
        <v>6246.92</v>
      </c>
      <c r="L19" t="str">
        <f t="shared" si="1"/>
        <v>High</v>
      </c>
      <c r="M19" t="s">
        <v>21</v>
      </c>
      <c r="N19" t="s">
        <v>22</v>
      </c>
      <c r="O19">
        <v>160.78</v>
      </c>
      <c r="P19">
        <v>1061.3499999999999</v>
      </c>
      <c r="Q19" t="s">
        <v>61</v>
      </c>
      <c r="R19">
        <v>21.47</v>
      </c>
    </row>
    <row r="20" spans="1:18" x14ac:dyDescent="0.25">
      <c r="A20" t="s">
        <v>75</v>
      </c>
      <c r="B20" s="1">
        <v>41330</v>
      </c>
      <c r="C20">
        <v>2012</v>
      </c>
      <c r="D20" t="s">
        <v>25</v>
      </c>
      <c r="E20" t="str">
        <f t="shared" si="0"/>
        <v>North</v>
      </c>
      <c r="F20" t="s">
        <v>26</v>
      </c>
      <c r="G20" t="s">
        <v>38</v>
      </c>
      <c r="H20" t="s">
        <v>46</v>
      </c>
      <c r="I20">
        <v>48.65</v>
      </c>
      <c r="J20">
        <v>301.04000000000002</v>
      </c>
      <c r="K20">
        <v>6187.9</v>
      </c>
      <c r="L20" t="str">
        <f t="shared" si="1"/>
        <v>High</v>
      </c>
      <c r="M20" t="s">
        <v>21</v>
      </c>
      <c r="N20" t="s">
        <v>49</v>
      </c>
      <c r="O20">
        <v>91.16</v>
      </c>
      <c r="P20">
        <v>202.16</v>
      </c>
      <c r="Q20" t="s">
        <v>52</v>
      </c>
      <c r="R20">
        <v>23.98</v>
      </c>
    </row>
    <row r="21" spans="1:18" x14ac:dyDescent="0.25">
      <c r="A21" t="s">
        <v>76</v>
      </c>
      <c r="B21" s="1">
        <v>44307</v>
      </c>
      <c r="C21">
        <v>2021</v>
      </c>
      <c r="D21" t="s">
        <v>36</v>
      </c>
      <c r="E21" t="str">
        <f t="shared" si="0"/>
        <v>South</v>
      </c>
      <c r="F21" t="s">
        <v>77</v>
      </c>
      <c r="G21" t="s">
        <v>19</v>
      </c>
      <c r="H21" t="s">
        <v>39</v>
      </c>
      <c r="I21">
        <v>72.12</v>
      </c>
      <c r="J21">
        <v>139.1</v>
      </c>
      <c r="K21">
        <v>1928.78</v>
      </c>
      <c r="L21" t="str">
        <f t="shared" si="1"/>
        <v>Low</v>
      </c>
      <c r="M21" t="s">
        <v>34</v>
      </c>
      <c r="N21" t="s">
        <v>22</v>
      </c>
      <c r="O21">
        <v>104.43</v>
      </c>
      <c r="P21">
        <v>258.48</v>
      </c>
      <c r="Q21" t="s">
        <v>61</v>
      </c>
      <c r="R21">
        <v>20.91</v>
      </c>
    </row>
    <row r="22" spans="1:18" x14ac:dyDescent="0.25">
      <c r="A22" t="s">
        <v>78</v>
      </c>
      <c r="B22" s="1">
        <v>42841</v>
      </c>
      <c r="C22">
        <v>2017</v>
      </c>
      <c r="D22" t="s">
        <v>25</v>
      </c>
      <c r="E22" t="str">
        <f t="shared" si="0"/>
        <v>North</v>
      </c>
      <c r="F22" t="s">
        <v>69</v>
      </c>
      <c r="G22" t="s">
        <v>19</v>
      </c>
      <c r="H22" t="s">
        <v>27</v>
      </c>
      <c r="I22">
        <v>16.59</v>
      </c>
      <c r="J22">
        <v>112.23</v>
      </c>
      <c r="K22">
        <v>6764.67</v>
      </c>
      <c r="L22" t="str">
        <f t="shared" si="1"/>
        <v>High</v>
      </c>
      <c r="M22" t="s">
        <v>21</v>
      </c>
      <c r="N22" t="s">
        <v>29</v>
      </c>
      <c r="O22">
        <v>262.83999999999997</v>
      </c>
      <c r="P22">
        <v>268.52</v>
      </c>
      <c r="Q22" t="s">
        <v>23</v>
      </c>
      <c r="R22">
        <v>30.13</v>
      </c>
    </row>
    <row r="23" spans="1:18" x14ac:dyDescent="0.25">
      <c r="A23" t="s">
        <v>79</v>
      </c>
      <c r="B23" s="1">
        <v>41390</v>
      </c>
      <c r="C23">
        <v>2013</v>
      </c>
      <c r="D23" t="s">
        <v>25</v>
      </c>
      <c r="E23" t="str">
        <f t="shared" si="0"/>
        <v>North</v>
      </c>
      <c r="F23" t="s">
        <v>69</v>
      </c>
      <c r="G23" t="s">
        <v>19</v>
      </c>
      <c r="H23" t="s">
        <v>27</v>
      </c>
      <c r="I23">
        <v>4.93</v>
      </c>
      <c r="J23">
        <v>7.36</v>
      </c>
      <c r="K23">
        <v>1491.9</v>
      </c>
      <c r="L23" t="str">
        <f t="shared" si="1"/>
        <v>Low</v>
      </c>
      <c r="M23" t="s">
        <v>34</v>
      </c>
      <c r="N23" t="s">
        <v>41</v>
      </c>
      <c r="O23">
        <v>283.68</v>
      </c>
      <c r="P23">
        <v>404.26</v>
      </c>
      <c r="Q23" t="s">
        <v>70</v>
      </c>
      <c r="R23">
        <v>23.58</v>
      </c>
    </row>
    <row r="24" spans="1:18" x14ac:dyDescent="0.25">
      <c r="A24" t="s">
        <v>80</v>
      </c>
      <c r="B24" s="1">
        <v>41998</v>
      </c>
      <c r="C24">
        <v>2014</v>
      </c>
      <c r="D24" t="s">
        <v>17</v>
      </c>
      <c r="E24" t="str">
        <f t="shared" si="0"/>
        <v>North</v>
      </c>
      <c r="F24" t="s">
        <v>54</v>
      </c>
      <c r="G24" t="s">
        <v>38</v>
      </c>
      <c r="H24" t="s">
        <v>20</v>
      </c>
      <c r="I24">
        <v>92.97</v>
      </c>
      <c r="J24">
        <v>614.94000000000005</v>
      </c>
      <c r="K24">
        <v>6614.41</v>
      </c>
      <c r="L24" t="str">
        <f t="shared" si="1"/>
        <v>High</v>
      </c>
      <c r="M24" t="s">
        <v>21</v>
      </c>
      <c r="N24" t="s">
        <v>47</v>
      </c>
      <c r="O24">
        <v>164.57</v>
      </c>
      <c r="P24">
        <v>1198.45</v>
      </c>
      <c r="Q24" t="s">
        <v>23</v>
      </c>
      <c r="R24">
        <v>21.1</v>
      </c>
    </row>
    <row r="25" spans="1:18" x14ac:dyDescent="0.25">
      <c r="A25" t="s">
        <v>81</v>
      </c>
      <c r="B25" s="1">
        <v>42297</v>
      </c>
      <c r="C25">
        <v>2015</v>
      </c>
      <c r="D25" t="s">
        <v>31</v>
      </c>
      <c r="E25" t="str">
        <f t="shared" si="0"/>
        <v>West</v>
      </c>
      <c r="F25" t="s">
        <v>82</v>
      </c>
      <c r="G25" t="s">
        <v>33</v>
      </c>
      <c r="H25" t="s">
        <v>56</v>
      </c>
      <c r="I25">
        <v>37.58</v>
      </c>
      <c r="J25">
        <v>73.150000000000006</v>
      </c>
      <c r="K25">
        <v>1946.48</v>
      </c>
      <c r="L25" t="str">
        <f t="shared" si="1"/>
        <v>Low</v>
      </c>
      <c r="M25" t="s">
        <v>34</v>
      </c>
      <c r="N25" t="s">
        <v>49</v>
      </c>
      <c r="O25">
        <v>202.92</v>
      </c>
      <c r="P25">
        <v>1187.23</v>
      </c>
      <c r="Q25" t="s">
        <v>61</v>
      </c>
      <c r="R25">
        <v>20.12</v>
      </c>
    </row>
    <row r="26" spans="1:18" x14ac:dyDescent="0.25">
      <c r="A26" t="s">
        <v>83</v>
      </c>
      <c r="B26" s="1">
        <v>41281</v>
      </c>
      <c r="C26">
        <v>2012</v>
      </c>
      <c r="D26" t="s">
        <v>17</v>
      </c>
      <c r="E26" t="str">
        <f t="shared" si="0"/>
        <v>North</v>
      </c>
      <c r="F26" t="s">
        <v>18</v>
      </c>
      <c r="G26" t="s">
        <v>38</v>
      </c>
      <c r="H26" t="s">
        <v>64</v>
      </c>
      <c r="I26">
        <v>89.08</v>
      </c>
      <c r="J26">
        <v>485.89</v>
      </c>
      <c r="K26">
        <v>5454.5</v>
      </c>
      <c r="L26" t="str">
        <f t="shared" si="1"/>
        <v>High</v>
      </c>
      <c r="M26" t="s">
        <v>40</v>
      </c>
      <c r="N26" t="s">
        <v>47</v>
      </c>
      <c r="O26">
        <v>118.09</v>
      </c>
      <c r="P26">
        <v>804.83</v>
      </c>
      <c r="Q26" t="s">
        <v>70</v>
      </c>
      <c r="R26">
        <v>23.05</v>
      </c>
    </row>
    <row r="27" spans="1:18" x14ac:dyDescent="0.25">
      <c r="A27" t="s">
        <v>84</v>
      </c>
      <c r="B27" s="1">
        <v>40443</v>
      </c>
      <c r="C27">
        <v>2010</v>
      </c>
      <c r="D27" t="s">
        <v>36</v>
      </c>
      <c r="E27" t="str">
        <f t="shared" si="0"/>
        <v>South</v>
      </c>
      <c r="F27" t="s">
        <v>51</v>
      </c>
      <c r="G27" t="s">
        <v>33</v>
      </c>
      <c r="H27" t="s">
        <v>39</v>
      </c>
      <c r="I27">
        <v>42.93</v>
      </c>
      <c r="J27">
        <v>114.2</v>
      </c>
      <c r="K27">
        <v>2660.08</v>
      </c>
      <c r="L27" t="str">
        <f t="shared" si="1"/>
        <v>Low</v>
      </c>
      <c r="M27" t="s">
        <v>21</v>
      </c>
      <c r="N27" t="s">
        <v>47</v>
      </c>
      <c r="O27">
        <v>133.38999999999999</v>
      </c>
      <c r="P27">
        <v>330.82</v>
      </c>
      <c r="Q27" t="s">
        <v>70</v>
      </c>
      <c r="R27">
        <v>22.42</v>
      </c>
    </row>
    <row r="28" spans="1:18" x14ac:dyDescent="0.25">
      <c r="A28" t="s">
        <v>85</v>
      </c>
      <c r="B28" s="1">
        <v>43362</v>
      </c>
      <c r="C28">
        <v>2018</v>
      </c>
      <c r="D28" t="s">
        <v>17</v>
      </c>
      <c r="E28" t="str">
        <f t="shared" si="0"/>
        <v>North</v>
      </c>
      <c r="F28" t="s">
        <v>72</v>
      </c>
      <c r="G28" t="s">
        <v>33</v>
      </c>
      <c r="H28" t="s">
        <v>64</v>
      </c>
      <c r="I28">
        <v>8.4499999999999993</v>
      </c>
      <c r="J28">
        <v>53.22</v>
      </c>
      <c r="K28">
        <v>6298.64</v>
      </c>
      <c r="L28" t="str">
        <f t="shared" si="1"/>
        <v>High</v>
      </c>
      <c r="M28" t="s">
        <v>40</v>
      </c>
      <c r="N28" t="s">
        <v>41</v>
      </c>
      <c r="O28">
        <v>186.4</v>
      </c>
      <c r="P28">
        <v>1034.5999999999999</v>
      </c>
      <c r="Q28" t="s">
        <v>61</v>
      </c>
      <c r="R28">
        <v>28.29</v>
      </c>
    </row>
    <row r="29" spans="1:18" x14ac:dyDescent="0.25">
      <c r="A29" t="s">
        <v>86</v>
      </c>
      <c r="B29" s="1">
        <v>42195</v>
      </c>
      <c r="C29">
        <v>2015</v>
      </c>
      <c r="D29" t="s">
        <v>25</v>
      </c>
      <c r="E29" t="str">
        <f t="shared" si="0"/>
        <v>North</v>
      </c>
      <c r="F29" t="s">
        <v>87</v>
      </c>
      <c r="G29" t="s">
        <v>33</v>
      </c>
      <c r="H29" t="s">
        <v>20</v>
      </c>
      <c r="I29">
        <v>21.8</v>
      </c>
      <c r="J29">
        <v>54.44</v>
      </c>
      <c r="K29">
        <v>2497.1799999999998</v>
      </c>
      <c r="L29" t="str">
        <f t="shared" si="1"/>
        <v>Low</v>
      </c>
      <c r="M29" t="s">
        <v>21</v>
      </c>
      <c r="N29" t="s">
        <v>41</v>
      </c>
      <c r="O29">
        <v>138.41999999999999</v>
      </c>
      <c r="P29">
        <v>759.88</v>
      </c>
      <c r="Q29" t="s">
        <v>52</v>
      </c>
      <c r="R29">
        <v>34.61</v>
      </c>
    </row>
    <row r="30" spans="1:18" x14ac:dyDescent="0.25">
      <c r="A30" t="s">
        <v>88</v>
      </c>
      <c r="B30" s="1">
        <v>44740</v>
      </c>
      <c r="C30">
        <v>2022</v>
      </c>
      <c r="D30" t="s">
        <v>44</v>
      </c>
      <c r="E30" t="str">
        <f t="shared" si="0"/>
        <v>East</v>
      </c>
      <c r="F30" t="s">
        <v>45</v>
      </c>
      <c r="G30" t="s">
        <v>33</v>
      </c>
      <c r="H30" t="s">
        <v>46</v>
      </c>
      <c r="I30">
        <v>3.45</v>
      </c>
      <c r="J30">
        <v>18.7</v>
      </c>
      <c r="K30">
        <v>5419.39</v>
      </c>
      <c r="L30" t="str">
        <f t="shared" si="1"/>
        <v>High</v>
      </c>
      <c r="M30" t="s">
        <v>34</v>
      </c>
      <c r="N30" t="s">
        <v>29</v>
      </c>
      <c r="O30">
        <v>245.6</v>
      </c>
      <c r="P30">
        <v>611.71</v>
      </c>
      <c r="Q30" t="s">
        <v>42</v>
      </c>
      <c r="R30">
        <v>24</v>
      </c>
    </row>
    <row r="31" spans="1:18" x14ac:dyDescent="0.25">
      <c r="A31" t="s">
        <v>89</v>
      </c>
      <c r="B31" s="1">
        <v>42936</v>
      </c>
      <c r="C31">
        <v>2017</v>
      </c>
      <c r="D31" t="s">
        <v>44</v>
      </c>
      <c r="E31" t="str">
        <f t="shared" si="0"/>
        <v>East</v>
      </c>
      <c r="F31" t="s">
        <v>45</v>
      </c>
      <c r="G31" t="s">
        <v>33</v>
      </c>
      <c r="H31" t="s">
        <v>56</v>
      </c>
      <c r="I31">
        <v>81.84</v>
      </c>
      <c r="J31">
        <v>307.87</v>
      </c>
      <c r="K31">
        <v>3761.82</v>
      </c>
      <c r="L31" t="str">
        <f t="shared" si="1"/>
        <v>Medium</v>
      </c>
      <c r="M31" t="s">
        <v>34</v>
      </c>
      <c r="N31" t="s">
        <v>29</v>
      </c>
      <c r="O31">
        <v>255.13</v>
      </c>
      <c r="P31">
        <v>1071.32</v>
      </c>
      <c r="Q31" t="s">
        <v>42</v>
      </c>
      <c r="R31">
        <v>20.350000000000001</v>
      </c>
    </row>
    <row r="32" spans="1:18" x14ac:dyDescent="0.25">
      <c r="A32" t="s">
        <v>90</v>
      </c>
      <c r="B32" s="1">
        <v>40915</v>
      </c>
      <c r="C32">
        <v>2011</v>
      </c>
      <c r="D32" t="s">
        <v>31</v>
      </c>
      <c r="E32" t="str">
        <f t="shared" si="0"/>
        <v>West</v>
      </c>
      <c r="F32" t="s">
        <v>32</v>
      </c>
      <c r="G32" t="s">
        <v>38</v>
      </c>
      <c r="H32" t="s">
        <v>20</v>
      </c>
      <c r="I32">
        <v>64.510000000000005</v>
      </c>
      <c r="J32">
        <v>219.21</v>
      </c>
      <c r="K32">
        <v>3398.07</v>
      </c>
      <c r="L32" t="str">
        <f t="shared" si="1"/>
        <v>Medium</v>
      </c>
      <c r="M32" t="s">
        <v>34</v>
      </c>
      <c r="N32" t="s">
        <v>22</v>
      </c>
      <c r="O32">
        <v>284.81</v>
      </c>
      <c r="P32">
        <v>315.33999999999997</v>
      </c>
      <c r="Q32" t="s">
        <v>70</v>
      </c>
      <c r="R32">
        <v>22.68</v>
      </c>
    </row>
    <row r="33" spans="1:18" x14ac:dyDescent="0.25">
      <c r="A33" t="s">
        <v>91</v>
      </c>
      <c r="B33" s="1">
        <v>42786</v>
      </c>
      <c r="C33">
        <v>2016</v>
      </c>
      <c r="D33" t="s">
        <v>25</v>
      </c>
      <c r="E33" t="str">
        <f t="shared" si="0"/>
        <v>North</v>
      </c>
      <c r="F33" t="s">
        <v>69</v>
      </c>
      <c r="G33" t="s">
        <v>38</v>
      </c>
      <c r="H33" t="s">
        <v>39</v>
      </c>
      <c r="I33">
        <v>78.86</v>
      </c>
      <c r="J33">
        <v>285.33999999999997</v>
      </c>
      <c r="K33">
        <v>3618.36</v>
      </c>
      <c r="L33" t="str">
        <f t="shared" si="1"/>
        <v>Medium</v>
      </c>
      <c r="M33" t="s">
        <v>21</v>
      </c>
      <c r="N33" t="s">
        <v>22</v>
      </c>
      <c r="O33">
        <v>146.30000000000001</v>
      </c>
      <c r="P33">
        <v>776.59</v>
      </c>
      <c r="Q33" t="s">
        <v>70</v>
      </c>
      <c r="R33">
        <v>20.67</v>
      </c>
    </row>
    <row r="34" spans="1:18" x14ac:dyDescent="0.25">
      <c r="A34" t="s">
        <v>92</v>
      </c>
      <c r="B34" s="1">
        <v>43964</v>
      </c>
      <c r="C34">
        <v>2020</v>
      </c>
      <c r="D34" t="s">
        <v>59</v>
      </c>
      <c r="E34" t="str">
        <f t="shared" si="0"/>
        <v>East</v>
      </c>
      <c r="F34" t="s">
        <v>93</v>
      </c>
      <c r="G34" t="s">
        <v>19</v>
      </c>
      <c r="H34" t="s">
        <v>39</v>
      </c>
      <c r="I34">
        <v>73.97</v>
      </c>
      <c r="J34">
        <v>161.41999999999999</v>
      </c>
      <c r="K34">
        <v>2182.21</v>
      </c>
      <c r="L34" t="str">
        <f t="shared" si="1"/>
        <v>Low</v>
      </c>
      <c r="M34" t="s">
        <v>28</v>
      </c>
      <c r="N34" t="s">
        <v>22</v>
      </c>
      <c r="O34">
        <v>67.489999999999995</v>
      </c>
      <c r="P34">
        <v>864.24</v>
      </c>
      <c r="Q34" t="s">
        <v>70</v>
      </c>
      <c r="R34">
        <v>29.35</v>
      </c>
    </row>
    <row r="35" spans="1:18" x14ac:dyDescent="0.25">
      <c r="A35" t="s">
        <v>94</v>
      </c>
      <c r="B35" s="1">
        <v>43449</v>
      </c>
      <c r="C35">
        <v>2018</v>
      </c>
      <c r="D35" t="s">
        <v>17</v>
      </c>
      <c r="E35" t="str">
        <f t="shared" si="0"/>
        <v>North</v>
      </c>
      <c r="F35" t="s">
        <v>72</v>
      </c>
      <c r="G35" t="s">
        <v>38</v>
      </c>
      <c r="H35" t="s">
        <v>39</v>
      </c>
      <c r="I35">
        <v>41.43</v>
      </c>
      <c r="J35">
        <v>141.46</v>
      </c>
      <c r="K35">
        <v>3414.4</v>
      </c>
      <c r="L35" t="str">
        <f t="shared" si="1"/>
        <v>Medium</v>
      </c>
      <c r="M35" t="s">
        <v>34</v>
      </c>
      <c r="N35" t="s">
        <v>47</v>
      </c>
      <c r="O35">
        <v>188.6</v>
      </c>
      <c r="P35">
        <v>391.84</v>
      </c>
      <c r="Q35" t="s">
        <v>52</v>
      </c>
      <c r="R35">
        <v>30.16</v>
      </c>
    </row>
    <row r="36" spans="1:18" x14ac:dyDescent="0.25">
      <c r="A36" t="s">
        <v>95</v>
      </c>
      <c r="B36" s="1">
        <v>42511</v>
      </c>
      <c r="C36">
        <v>2016</v>
      </c>
      <c r="D36" t="s">
        <v>59</v>
      </c>
      <c r="E36" t="str">
        <f t="shared" si="0"/>
        <v>East</v>
      </c>
      <c r="F36" t="s">
        <v>63</v>
      </c>
      <c r="G36" t="s">
        <v>19</v>
      </c>
      <c r="H36" t="s">
        <v>64</v>
      </c>
      <c r="I36">
        <v>31.08</v>
      </c>
      <c r="J36">
        <v>70.27</v>
      </c>
      <c r="K36">
        <v>2261.1</v>
      </c>
      <c r="L36" t="str">
        <f t="shared" si="1"/>
        <v>Low</v>
      </c>
      <c r="M36" t="s">
        <v>34</v>
      </c>
      <c r="N36" t="s">
        <v>41</v>
      </c>
      <c r="O36">
        <v>166.25</v>
      </c>
      <c r="P36">
        <v>642.16</v>
      </c>
      <c r="Q36" t="s">
        <v>42</v>
      </c>
      <c r="R36">
        <v>27.67</v>
      </c>
    </row>
    <row r="37" spans="1:18" x14ac:dyDescent="0.25">
      <c r="A37" t="s">
        <v>96</v>
      </c>
      <c r="B37" s="1">
        <v>41732</v>
      </c>
      <c r="C37">
        <v>2014</v>
      </c>
      <c r="D37" t="s">
        <v>17</v>
      </c>
      <c r="E37" t="str">
        <f t="shared" si="0"/>
        <v>North</v>
      </c>
      <c r="F37" t="s">
        <v>18</v>
      </c>
      <c r="G37" t="s">
        <v>19</v>
      </c>
      <c r="H37" t="s">
        <v>39</v>
      </c>
      <c r="I37">
        <v>63.66</v>
      </c>
      <c r="J37">
        <v>191.69</v>
      </c>
      <c r="K37">
        <v>3011.13</v>
      </c>
      <c r="L37" t="str">
        <f t="shared" si="1"/>
        <v>Medium</v>
      </c>
      <c r="M37" t="s">
        <v>40</v>
      </c>
      <c r="N37" t="s">
        <v>41</v>
      </c>
      <c r="O37">
        <v>218.2</v>
      </c>
      <c r="P37">
        <v>424.64</v>
      </c>
      <c r="Q37" t="s">
        <v>42</v>
      </c>
      <c r="R37">
        <v>22.21</v>
      </c>
    </row>
    <row r="38" spans="1:18" x14ac:dyDescent="0.25">
      <c r="A38" t="s">
        <v>97</v>
      </c>
      <c r="B38" s="1">
        <v>44714</v>
      </c>
      <c r="C38">
        <v>2022</v>
      </c>
      <c r="D38" t="s">
        <v>36</v>
      </c>
      <c r="E38" t="str">
        <f t="shared" si="0"/>
        <v>South</v>
      </c>
      <c r="F38" t="s">
        <v>77</v>
      </c>
      <c r="G38" t="s">
        <v>33</v>
      </c>
      <c r="H38" t="s">
        <v>46</v>
      </c>
      <c r="I38">
        <v>42.03</v>
      </c>
      <c r="J38">
        <v>200.84</v>
      </c>
      <c r="K38">
        <v>4778.59</v>
      </c>
      <c r="L38" t="str">
        <f t="shared" si="1"/>
        <v>Medium</v>
      </c>
      <c r="M38" t="s">
        <v>40</v>
      </c>
      <c r="N38" t="s">
        <v>22</v>
      </c>
      <c r="O38">
        <v>229.59</v>
      </c>
      <c r="P38">
        <v>583.98</v>
      </c>
      <c r="Q38" t="s">
        <v>52</v>
      </c>
      <c r="R38">
        <v>23.66</v>
      </c>
    </row>
    <row r="39" spans="1:18" x14ac:dyDescent="0.25">
      <c r="A39" t="s">
        <v>98</v>
      </c>
      <c r="B39" s="1">
        <v>41561</v>
      </c>
      <c r="C39">
        <v>2013</v>
      </c>
      <c r="D39" t="s">
        <v>44</v>
      </c>
      <c r="E39" t="str">
        <f t="shared" si="0"/>
        <v>East</v>
      </c>
      <c r="F39" t="s">
        <v>99</v>
      </c>
      <c r="G39" t="s">
        <v>33</v>
      </c>
      <c r="H39" t="s">
        <v>39</v>
      </c>
      <c r="I39">
        <v>52.28</v>
      </c>
      <c r="J39">
        <v>68.03</v>
      </c>
      <c r="K39">
        <v>1301.31</v>
      </c>
      <c r="L39" t="str">
        <f t="shared" si="1"/>
        <v>Low</v>
      </c>
      <c r="M39" t="s">
        <v>40</v>
      </c>
      <c r="N39" t="s">
        <v>47</v>
      </c>
      <c r="O39">
        <v>279.37</v>
      </c>
      <c r="P39">
        <v>321.36</v>
      </c>
      <c r="Q39" t="s">
        <v>42</v>
      </c>
      <c r="R39">
        <v>32.020000000000003</v>
      </c>
    </row>
    <row r="40" spans="1:18" x14ac:dyDescent="0.25">
      <c r="A40" t="s">
        <v>100</v>
      </c>
      <c r="B40" s="1">
        <v>44987</v>
      </c>
      <c r="C40">
        <v>2022</v>
      </c>
      <c r="D40" t="s">
        <v>59</v>
      </c>
      <c r="E40" t="str">
        <f t="shared" si="0"/>
        <v>East</v>
      </c>
      <c r="F40" t="s">
        <v>63</v>
      </c>
      <c r="G40" t="s">
        <v>38</v>
      </c>
      <c r="H40" t="s">
        <v>27</v>
      </c>
      <c r="I40">
        <v>81.69</v>
      </c>
      <c r="J40">
        <v>518.9</v>
      </c>
      <c r="K40">
        <v>6352.12</v>
      </c>
      <c r="L40" t="str">
        <f t="shared" si="1"/>
        <v>High</v>
      </c>
      <c r="M40" t="s">
        <v>28</v>
      </c>
      <c r="N40" t="s">
        <v>29</v>
      </c>
      <c r="O40">
        <v>257.64</v>
      </c>
      <c r="P40">
        <v>747.87</v>
      </c>
      <c r="Q40" t="s">
        <v>42</v>
      </c>
      <c r="R40">
        <v>31.15</v>
      </c>
    </row>
    <row r="41" spans="1:18" x14ac:dyDescent="0.25">
      <c r="A41" t="s">
        <v>101</v>
      </c>
      <c r="B41" s="1">
        <v>44274</v>
      </c>
      <c r="C41">
        <v>2020</v>
      </c>
      <c r="D41" t="s">
        <v>31</v>
      </c>
      <c r="E41" t="str">
        <f t="shared" si="0"/>
        <v>West</v>
      </c>
      <c r="F41" t="s">
        <v>82</v>
      </c>
      <c r="G41" t="s">
        <v>38</v>
      </c>
      <c r="H41" t="s">
        <v>27</v>
      </c>
      <c r="I41">
        <v>48.98</v>
      </c>
      <c r="J41">
        <v>119.29</v>
      </c>
      <c r="K41">
        <v>2435.48</v>
      </c>
      <c r="L41" t="str">
        <f t="shared" si="1"/>
        <v>Low</v>
      </c>
      <c r="M41" t="s">
        <v>28</v>
      </c>
      <c r="N41" t="s">
        <v>22</v>
      </c>
      <c r="O41">
        <v>69.37</v>
      </c>
      <c r="P41">
        <v>485.73</v>
      </c>
      <c r="Q41" t="s">
        <v>70</v>
      </c>
      <c r="R41">
        <v>25.04</v>
      </c>
    </row>
    <row r="42" spans="1:18" x14ac:dyDescent="0.25">
      <c r="A42" t="s">
        <v>102</v>
      </c>
      <c r="B42" s="1">
        <v>41686</v>
      </c>
      <c r="C42">
        <v>2013</v>
      </c>
      <c r="D42" t="s">
        <v>103</v>
      </c>
      <c r="E42" t="str">
        <f t="shared" si="0"/>
        <v>North</v>
      </c>
      <c r="F42" t="s">
        <v>104</v>
      </c>
      <c r="G42" t="s">
        <v>38</v>
      </c>
      <c r="H42" t="s">
        <v>39</v>
      </c>
      <c r="I42">
        <v>16.13</v>
      </c>
      <c r="J42">
        <v>36.840000000000003</v>
      </c>
      <c r="K42">
        <v>2283.7199999999998</v>
      </c>
      <c r="L42" t="str">
        <f t="shared" si="1"/>
        <v>Low</v>
      </c>
      <c r="M42" t="s">
        <v>28</v>
      </c>
      <c r="N42" t="s">
        <v>29</v>
      </c>
      <c r="O42">
        <v>151.9</v>
      </c>
      <c r="P42">
        <v>742.61</v>
      </c>
      <c r="Q42" t="s">
        <v>52</v>
      </c>
      <c r="R42">
        <v>20.93</v>
      </c>
    </row>
    <row r="43" spans="1:18" x14ac:dyDescent="0.25">
      <c r="A43" t="s">
        <v>105</v>
      </c>
      <c r="B43" s="1">
        <v>44487</v>
      </c>
      <c r="C43">
        <v>2021</v>
      </c>
      <c r="D43" t="s">
        <v>44</v>
      </c>
      <c r="E43" t="str">
        <f t="shared" si="0"/>
        <v>East</v>
      </c>
      <c r="F43" t="s">
        <v>67</v>
      </c>
      <c r="G43" t="s">
        <v>33</v>
      </c>
      <c r="H43" t="s">
        <v>27</v>
      </c>
      <c r="I43">
        <v>38.659999999999997</v>
      </c>
      <c r="J43">
        <v>40.03</v>
      </c>
      <c r="K43">
        <v>1035.3800000000001</v>
      </c>
      <c r="L43" t="str">
        <f t="shared" si="1"/>
        <v>Low</v>
      </c>
      <c r="M43" t="s">
        <v>34</v>
      </c>
      <c r="N43" t="s">
        <v>47</v>
      </c>
      <c r="O43">
        <v>124.65</v>
      </c>
      <c r="P43">
        <v>589.99</v>
      </c>
      <c r="Q43" t="s">
        <v>52</v>
      </c>
      <c r="R43">
        <v>28.07</v>
      </c>
    </row>
    <row r="44" spans="1:18" x14ac:dyDescent="0.25">
      <c r="A44" t="s">
        <v>106</v>
      </c>
      <c r="B44" s="1">
        <v>41715</v>
      </c>
      <c r="C44">
        <v>2013</v>
      </c>
      <c r="D44" t="s">
        <v>103</v>
      </c>
      <c r="E44" t="str">
        <f t="shared" si="0"/>
        <v>North</v>
      </c>
      <c r="F44" t="s">
        <v>107</v>
      </c>
      <c r="G44" t="s">
        <v>38</v>
      </c>
      <c r="H44" t="s">
        <v>46</v>
      </c>
      <c r="I44">
        <v>49.08</v>
      </c>
      <c r="J44">
        <v>163.59</v>
      </c>
      <c r="K44">
        <v>3333.14</v>
      </c>
      <c r="L44" t="str">
        <f t="shared" si="1"/>
        <v>Medium</v>
      </c>
      <c r="M44" t="s">
        <v>28</v>
      </c>
      <c r="N44" t="s">
        <v>22</v>
      </c>
      <c r="O44">
        <v>231.05</v>
      </c>
      <c r="P44">
        <v>1040.51</v>
      </c>
      <c r="Q44" t="s">
        <v>42</v>
      </c>
      <c r="R44">
        <v>34.71</v>
      </c>
    </row>
    <row r="45" spans="1:18" x14ac:dyDescent="0.25">
      <c r="A45" t="s">
        <v>108</v>
      </c>
      <c r="B45" s="1">
        <v>43576</v>
      </c>
      <c r="C45">
        <v>2019</v>
      </c>
      <c r="D45" t="s">
        <v>36</v>
      </c>
      <c r="E45" t="str">
        <f t="shared" si="0"/>
        <v>South</v>
      </c>
      <c r="F45" t="s">
        <v>77</v>
      </c>
      <c r="G45" t="s">
        <v>19</v>
      </c>
      <c r="H45" t="s">
        <v>64</v>
      </c>
      <c r="I45">
        <v>9.31</v>
      </c>
      <c r="J45">
        <v>33.25</v>
      </c>
      <c r="K45">
        <v>3571.68</v>
      </c>
      <c r="L45" t="str">
        <f t="shared" si="1"/>
        <v>Medium</v>
      </c>
      <c r="M45" t="s">
        <v>28</v>
      </c>
      <c r="N45" t="s">
        <v>49</v>
      </c>
      <c r="O45">
        <v>95.43</v>
      </c>
      <c r="P45">
        <v>460.16</v>
      </c>
      <c r="Q45" t="s">
        <v>70</v>
      </c>
      <c r="R45">
        <v>23.17</v>
      </c>
    </row>
    <row r="46" spans="1:18" x14ac:dyDescent="0.25">
      <c r="A46" t="s">
        <v>109</v>
      </c>
      <c r="B46" s="1">
        <v>41954</v>
      </c>
      <c r="C46">
        <v>2014</v>
      </c>
      <c r="D46" t="s">
        <v>44</v>
      </c>
      <c r="E46" t="str">
        <f t="shared" si="0"/>
        <v>East</v>
      </c>
      <c r="F46" t="s">
        <v>99</v>
      </c>
      <c r="G46" t="s">
        <v>38</v>
      </c>
      <c r="H46" t="s">
        <v>20</v>
      </c>
      <c r="I46">
        <v>83.66</v>
      </c>
      <c r="J46">
        <v>319.74</v>
      </c>
      <c r="K46">
        <v>3821.84</v>
      </c>
      <c r="L46" t="str">
        <f t="shared" si="1"/>
        <v>Medium</v>
      </c>
      <c r="M46" t="s">
        <v>21</v>
      </c>
      <c r="N46" t="s">
        <v>22</v>
      </c>
      <c r="O46">
        <v>299.98</v>
      </c>
      <c r="P46">
        <v>549.96</v>
      </c>
      <c r="Q46" t="s">
        <v>23</v>
      </c>
      <c r="R46">
        <v>31.72</v>
      </c>
    </row>
    <row r="47" spans="1:18" x14ac:dyDescent="0.25">
      <c r="A47" t="s">
        <v>110</v>
      </c>
      <c r="B47" s="1">
        <v>40279</v>
      </c>
      <c r="C47">
        <v>2010</v>
      </c>
      <c r="D47" t="s">
        <v>103</v>
      </c>
      <c r="E47" t="str">
        <f t="shared" si="0"/>
        <v>North</v>
      </c>
      <c r="F47" t="s">
        <v>104</v>
      </c>
      <c r="G47" t="s">
        <v>19</v>
      </c>
      <c r="H47" t="s">
        <v>56</v>
      </c>
      <c r="I47">
        <v>24.62</v>
      </c>
      <c r="J47">
        <v>94.57</v>
      </c>
      <c r="K47">
        <v>3841.37</v>
      </c>
      <c r="L47" t="str">
        <f t="shared" si="1"/>
        <v>Medium</v>
      </c>
      <c r="M47" t="s">
        <v>21</v>
      </c>
      <c r="N47" t="s">
        <v>47</v>
      </c>
      <c r="O47">
        <v>190.99</v>
      </c>
      <c r="P47">
        <v>417.96</v>
      </c>
      <c r="Q47" t="s">
        <v>70</v>
      </c>
      <c r="R47">
        <v>31.5</v>
      </c>
    </row>
    <row r="48" spans="1:18" x14ac:dyDescent="0.25">
      <c r="A48" t="s">
        <v>111</v>
      </c>
      <c r="B48" s="1">
        <v>44398</v>
      </c>
      <c r="C48">
        <v>2021</v>
      </c>
      <c r="D48" t="s">
        <v>59</v>
      </c>
      <c r="E48" t="str">
        <f t="shared" si="0"/>
        <v>East</v>
      </c>
      <c r="F48" t="s">
        <v>93</v>
      </c>
      <c r="G48" t="s">
        <v>33</v>
      </c>
      <c r="H48" t="s">
        <v>56</v>
      </c>
      <c r="I48">
        <v>96.51</v>
      </c>
      <c r="J48">
        <v>159.11000000000001</v>
      </c>
      <c r="K48">
        <v>1648.59</v>
      </c>
      <c r="L48" t="str">
        <f t="shared" si="1"/>
        <v>Low</v>
      </c>
      <c r="M48" t="s">
        <v>21</v>
      </c>
      <c r="N48" t="s">
        <v>22</v>
      </c>
      <c r="O48">
        <v>282.22000000000003</v>
      </c>
      <c r="P48">
        <v>775.8</v>
      </c>
      <c r="Q48" t="s">
        <v>52</v>
      </c>
      <c r="R48">
        <v>25.95</v>
      </c>
    </row>
    <row r="49" spans="1:18" x14ac:dyDescent="0.25">
      <c r="A49" t="s">
        <v>112</v>
      </c>
      <c r="B49" s="1">
        <v>44092</v>
      </c>
      <c r="C49">
        <v>2020</v>
      </c>
      <c r="D49" t="s">
        <v>59</v>
      </c>
      <c r="E49" t="str">
        <f t="shared" si="0"/>
        <v>East</v>
      </c>
      <c r="F49" t="s">
        <v>93</v>
      </c>
      <c r="G49" t="s">
        <v>33</v>
      </c>
      <c r="H49" t="s">
        <v>64</v>
      </c>
      <c r="I49">
        <v>70.02</v>
      </c>
      <c r="J49">
        <v>196.72</v>
      </c>
      <c r="K49">
        <v>2809.5</v>
      </c>
      <c r="L49" t="str">
        <f t="shared" si="1"/>
        <v>Low</v>
      </c>
      <c r="M49" t="s">
        <v>21</v>
      </c>
      <c r="N49" t="s">
        <v>49</v>
      </c>
      <c r="O49">
        <v>249.06</v>
      </c>
      <c r="P49">
        <v>765.93</v>
      </c>
      <c r="Q49" t="s">
        <v>23</v>
      </c>
      <c r="R49">
        <v>25.21</v>
      </c>
    </row>
    <row r="50" spans="1:18" x14ac:dyDescent="0.25">
      <c r="A50" t="s">
        <v>113</v>
      </c>
      <c r="B50" s="1">
        <v>44247</v>
      </c>
      <c r="C50">
        <v>2020</v>
      </c>
      <c r="D50" t="s">
        <v>25</v>
      </c>
      <c r="E50" t="str">
        <f t="shared" si="0"/>
        <v>North</v>
      </c>
      <c r="F50" t="s">
        <v>69</v>
      </c>
      <c r="G50" t="s">
        <v>38</v>
      </c>
      <c r="H50" t="s">
        <v>64</v>
      </c>
      <c r="I50">
        <v>85.11</v>
      </c>
      <c r="J50">
        <v>505.04</v>
      </c>
      <c r="K50">
        <v>5933.99</v>
      </c>
      <c r="L50" t="str">
        <f t="shared" si="1"/>
        <v>High</v>
      </c>
      <c r="M50" t="s">
        <v>21</v>
      </c>
      <c r="N50" t="s">
        <v>41</v>
      </c>
      <c r="O50">
        <v>158.38</v>
      </c>
      <c r="P50">
        <v>562.19000000000005</v>
      </c>
      <c r="Q50" t="s">
        <v>52</v>
      </c>
      <c r="R50">
        <v>30.61</v>
      </c>
    </row>
    <row r="51" spans="1:18" x14ac:dyDescent="0.25">
      <c r="A51" t="s">
        <v>114</v>
      </c>
      <c r="B51" s="1">
        <v>44198</v>
      </c>
      <c r="C51">
        <v>2020</v>
      </c>
      <c r="D51" t="s">
        <v>17</v>
      </c>
      <c r="E51" t="str">
        <f t="shared" si="0"/>
        <v>North</v>
      </c>
      <c r="F51" t="s">
        <v>54</v>
      </c>
      <c r="G51" t="s">
        <v>38</v>
      </c>
      <c r="H51" t="s">
        <v>27</v>
      </c>
      <c r="I51">
        <v>81.010000000000005</v>
      </c>
      <c r="J51">
        <v>342.59</v>
      </c>
      <c r="K51">
        <v>4229.04</v>
      </c>
      <c r="L51" t="str">
        <f t="shared" si="1"/>
        <v>Medium</v>
      </c>
      <c r="M51" t="s">
        <v>28</v>
      </c>
      <c r="N51" t="s">
        <v>22</v>
      </c>
      <c r="O51">
        <v>166.22</v>
      </c>
      <c r="P51">
        <v>1025.73</v>
      </c>
      <c r="Q51" t="s">
        <v>61</v>
      </c>
      <c r="R51">
        <v>24.03</v>
      </c>
    </row>
    <row r="52" spans="1:18" x14ac:dyDescent="0.25">
      <c r="A52" t="s">
        <v>115</v>
      </c>
      <c r="B52" s="1">
        <v>41645</v>
      </c>
      <c r="C52">
        <v>2013</v>
      </c>
      <c r="D52" t="s">
        <v>31</v>
      </c>
      <c r="E52" t="str">
        <f t="shared" si="0"/>
        <v>West</v>
      </c>
      <c r="F52" t="s">
        <v>32</v>
      </c>
      <c r="G52" t="s">
        <v>38</v>
      </c>
      <c r="H52" t="s">
        <v>27</v>
      </c>
      <c r="I52">
        <v>61.42</v>
      </c>
      <c r="J52">
        <v>201.09</v>
      </c>
      <c r="K52">
        <v>3273.94</v>
      </c>
      <c r="L52" t="str">
        <f t="shared" si="1"/>
        <v>Medium</v>
      </c>
      <c r="M52" t="s">
        <v>21</v>
      </c>
      <c r="N52" t="s">
        <v>49</v>
      </c>
      <c r="O52">
        <v>173.58</v>
      </c>
      <c r="P52">
        <v>525.01</v>
      </c>
      <c r="Q52" t="s">
        <v>52</v>
      </c>
      <c r="R52">
        <v>23.18</v>
      </c>
    </row>
    <row r="53" spans="1:18" x14ac:dyDescent="0.25">
      <c r="A53" t="s">
        <v>116</v>
      </c>
      <c r="B53" s="1">
        <v>44622</v>
      </c>
      <c r="C53">
        <v>2021</v>
      </c>
      <c r="D53" t="s">
        <v>31</v>
      </c>
      <c r="E53" t="str">
        <f t="shared" si="0"/>
        <v>West</v>
      </c>
      <c r="F53" t="s">
        <v>117</v>
      </c>
      <c r="G53" t="s">
        <v>38</v>
      </c>
      <c r="H53" t="s">
        <v>27</v>
      </c>
      <c r="I53">
        <v>2</v>
      </c>
      <c r="J53">
        <v>13.38</v>
      </c>
      <c r="K53">
        <v>6688.38</v>
      </c>
      <c r="L53" t="str">
        <f t="shared" si="1"/>
        <v>High</v>
      </c>
      <c r="M53" t="s">
        <v>21</v>
      </c>
      <c r="N53" t="s">
        <v>29</v>
      </c>
      <c r="O53">
        <v>110.34</v>
      </c>
      <c r="P53">
        <v>606.42999999999995</v>
      </c>
      <c r="Q53" t="s">
        <v>61</v>
      </c>
      <c r="R53">
        <v>31.37</v>
      </c>
    </row>
    <row r="54" spans="1:18" x14ac:dyDescent="0.25">
      <c r="A54" t="s">
        <v>118</v>
      </c>
      <c r="B54" s="1">
        <v>40988</v>
      </c>
      <c r="C54">
        <v>2011</v>
      </c>
      <c r="D54" t="s">
        <v>36</v>
      </c>
      <c r="E54" t="str">
        <f t="shared" si="0"/>
        <v>South</v>
      </c>
      <c r="F54" t="s">
        <v>37</v>
      </c>
      <c r="G54" t="s">
        <v>38</v>
      </c>
      <c r="H54" t="s">
        <v>56</v>
      </c>
      <c r="I54">
        <v>41.04</v>
      </c>
      <c r="J54">
        <v>100.95</v>
      </c>
      <c r="K54">
        <v>2459.83</v>
      </c>
      <c r="L54" t="str">
        <f t="shared" si="1"/>
        <v>Low</v>
      </c>
      <c r="M54" t="s">
        <v>34</v>
      </c>
      <c r="N54" t="s">
        <v>49</v>
      </c>
      <c r="O54">
        <v>168.32</v>
      </c>
      <c r="P54">
        <v>730.92</v>
      </c>
      <c r="Q54" t="s">
        <v>52</v>
      </c>
      <c r="R54">
        <v>34.950000000000003</v>
      </c>
    </row>
    <row r="55" spans="1:18" x14ac:dyDescent="0.25">
      <c r="A55" t="s">
        <v>119</v>
      </c>
      <c r="B55" s="1">
        <v>43163</v>
      </c>
      <c r="C55">
        <v>2017</v>
      </c>
      <c r="D55" t="s">
        <v>31</v>
      </c>
      <c r="E55" t="str">
        <f t="shared" si="0"/>
        <v>West</v>
      </c>
      <c r="F55" t="s">
        <v>117</v>
      </c>
      <c r="G55" t="s">
        <v>38</v>
      </c>
      <c r="H55" t="s">
        <v>20</v>
      </c>
      <c r="I55">
        <v>25.89</v>
      </c>
      <c r="J55">
        <v>44.63</v>
      </c>
      <c r="K55">
        <v>1723.94</v>
      </c>
      <c r="L55" t="str">
        <f t="shared" si="1"/>
        <v>Low</v>
      </c>
      <c r="M55" t="s">
        <v>40</v>
      </c>
      <c r="N55" t="s">
        <v>49</v>
      </c>
      <c r="O55">
        <v>128.88999999999999</v>
      </c>
      <c r="P55">
        <v>942.88</v>
      </c>
      <c r="Q55" t="s">
        <v>42</v>
      </c>
      <c r="R55">
        <v>22.87</v>
      </c>
    </row>
    <row r="56" spans="1:18" x14ac:dyDescent="0.25">
      <c r="A56" t="s">
        <v>120</v>
      </c>
      <c r="B56" s="1">
        <v>44686</v>
      </c>
      <c r="C56">
        <v>2022</v>
      </c>
      <c r="D56" t="s">
        <v>17</v>
      </c>
      <c r="E56" t="str">
        <f t="shared" si="0"/>
        <v>North</v>
      </c>
      <c r="F56" t="s">
        <v>54</v>
      </c>
      <c r="G56" t="s">
        <v>19</v>
      </c>
      <c r="H56" t="s">
        <v>27</v>
      </c>
      <c r="I56">
        <v>29.02</v>
      </c>
      <c r="J56">
        <v>46.52</v>
      </c>
      <c r="K56">
        <v>1603.16</v>
      </c>
      <c r="L56" t="str">
        <f t="shared" si="1"/>
        <v>Low</v>
      </c>
      <c r="M56" t="s">
        <v>40</v>
      </c>
      <c r="N56" t="s">
        <v>41</v>
      </c>
      <c r="O56">
        <v>124.06</v>
      </c>
      <c r="P56">
        <v>560.88</v>
      </c>
      <c r="Q56" t="s">
        <v>70</v>
      </c>
      <c r="R56">
        <v>20.21</v>
      </c>
    </row>
    <row r="57" spans="1:18" x14ac:dyDescent="0.25">
      <c r="A57" t="s">
        <v>121</v>
      </c>
      <c r="B57" s="1">
        <v>40297</v>
      </c>
      <c r="C57">
        <v>2010</v>
      </c>
      <c r="D57" t="s">
        <v>31</v>
      </c>
      <c r="E57" t="str">
        <f t="shared" si="0"/>
        <v>West</v>
      </c>
      <c r="F57" t="s">
        <v>82</v>
      </c>
      <c r="G57" t="s">
        <v>19</v>
      </c>
      <c r="H57" t="s">
        <v>20</v>
      </c>
      <c r="I57">
        <v>70.040000000000006</v>
      </c>
      <c r="J57">
        <v>123.11</v>
      </c>
      <c r="K57">
        <v>1757.68</v>
      </c>
      <c r="L57" t="str">
        <f t="shared" si="1"/>
        <v>Low</v>
      </c>
      <c r="M57" t="s">
        <v>28</v>
      </c>
      <c r="N57" t="s">
        <v>49</v>
      </c>
      <c r="O57">
        <v>75.650000000000006</v>
      </c>
      <c r="P57">
        <v>212.27</v>
      </c>
      <c r="Q57" t="s">
        <v>70</v>
      </c>
      <c r="R57">
        <v>27.04</v>
      </c>
    </row>
    <row r="58" spans="1:18" x14ac:dyDescent="0.25">
      <c r="A58" t="s">
        <v>122</v>
      </c>
      <c r="B58" s="1">
        <v>42088</v>
      </c>
      <c r="C58">
        <v>2014</v>
      </c>
      <c r="D58" t="s">
        <v>103</v>
      </c>
      <c r="E58" t="str">
        <f t="shared" si="0"/>
        <v>North</v>
      </c>
      <c r="F58" t="s">
        <v>104</v>
      </c>
      <c r="G58" t="s">
        <v>38</v>
      </c>
      <c r="H58" t="s">
        <v>64</v>
      </c>
      <c r="I58">
        <v>82.39</v>
      </c>
      <c r="J58">
        <v>280.48</v>
      </c>
      <c r="K58">
        <v>3404.24</v>
      </c>
      <c r="L58" t="str">
        <f t="shared" si="1"/>
        <v>Medium</v>
      </c>
      <c r="M58" t="s">
        <v>21</v>
      </c>
      <c r="N58" t="s">
        <v>49</v>
      </c>
      <c r="O58">
        <v>194.26</v>
      </c>
      <c r="P58">
        <v>886.45</v>
      </c>
      <c r="Q58" t="s">
        <v>42</v>
      </c>
      <c r="R58">
        <v>22.24</v>
      </c>
    </row>
    <row r="59" spans="1:18" x14ac:dyDescent="0.25">
      <c r="A59" t="s">
        <v>123</v>
      </c>
      <c r="B59" s="1">
        <v>40671</v>
      </c>
      <c r="C59">
        <v>2011</v>
      </c>
      <c r="D59" t="s">
        <v>25</v>
      </c>
      <c r="E59" t="str">
        <f t="shared" si="0"/>
        <v>North</v>
      </c>
      <c r="F59" t="s">
        <v>26</v>
      </c>
      <c r="G59" t="s">
        <v>19</v>
      </c>
      <c r="H59" t="s">
        <v>46</v>
      </c>
      <c r="I59">
        <v>61.03</v>
      </c>
      <c r="J59">
        <v>350.58</v>
      </c>
      <c r="K59">
        <v>5744.44</v>
      </c>
      <c r="L59" t="str">
        <f t="shared" si="1"/>
        <v>High</v>
      </c>
      <c r="M59" t="s">
        <v>40</v>
      </c>
      <c r="N59" t="s">
        <v>29</v>
      </c>
      <c r="O59">
        <v>243.92</v>
      </c>
      <c r="P59">
        <v>580.38</v>
      </c>
      <c r="Q59" t="s">
        <v>52</v>
      </c>
      <c r="R59">
        <v>24.46</v>
      </c>
    </row>
    <row r="60" spans="1:18" x14ac:dyDescent="0.25">
      <c r="A60" t="s">
        <v>124</v>
      </c>
      <c r="B60" s="1">
        <v>43661</v>
      </c>
      <c r="C60">
        <v>2019</v>
      </c>
      <c r="D60" t="s">
        <v>31</v>
      </c>
      <c r="E60" t="str">
        <f t="shared" si="0"/>
        <v>West</v>
      </c>
      <c r="F60" t="s">
        <v>117</v>
      </c>
      <c r="G60" t="s">
        <v>33</v>
      </c>
      <c r="H60" t="s">
        <v>27</v>
      </c>
      <c r="I60">
        <v>96.05</v>
      </c>
      <c r="J60">
        <v>153.24</v>
      </c>
      <c r="K60">
        <v>1595.4</v>
      </c>
      <c r="L60" t="str">
        <f t="shared" si="1"/>
        <v>Low</v>
      </c>
      <c r="M60" t="s">
        <v>40</v>
      </c>
      <c r="N60" t="s">
        <v>47</v>
      </c>
      <c r="O60">
        <v>206.38</v>
      </c>
      <c r="P60">
        <v>464.65</v>
      </c>
      <c r="Q60" t="s">
        <v>23</v>
      </c>
      <c r="R60">
        <v>22.36</v>
      </c>
    </row>
    <row r="61" spans="1:18" x14ac:dyDescent="0.25">
      <c r="A61" t="s">
        <v>125</v>
      </c>
      <c r="B61" s="1">
        <v>40542</v>
      </c>
      <c r="C61">
        <v>2010</v>
      </c>
      <c r="D61" t="s">
        <v>25</v>
      </c>
      <c r="E61" t="str">
        <f t="shared" si="0"/>
        <v>North</v>
      </c>
      <c r="F61" t="s">
        <v>26</v>
      </c>
      <c r="G61" t="s">
        <v>38</v>
      </c>
      <c r="H61" t="s">
        <v>46</v>
      </c>
      <c r="I61">
        <v>69.25</v>
      </c>
      <c r="J61">
        <v>264.5</v>
      </c>
      <c r="K61">
        <v>3819.47</v>
      </c>
      <c r="L61" t="str">
        <f t="shared" si="1"/>
        <v>Medium</v>
      </c>
      <c r="M61" t="s">
        <v>21</v>
      </c>
      <c r="N61" t="s">
        <v>49</v>
      </c>
      <c r="O61">
        <v>107.87</v>
      </c>
      <c r="P61">
        <v>906.96</v>
      </c>
      <c r="Q61" t="s">
        <v>52</v>
      </c>
      <c r="R61">
        <v>21.07</v>
      </c>
    </row>
    <row r="62" spans="1:18" x14ac:dyDescent="0.25">
      <c r="A62" t="s">
        <v>126</v>
      </c>
      <c r="B62" s="1">
        <v>43606</v>
      </c>
      <c r="C62">
        <v>2019</v>
      </c>
      <c r="D62" t="s">
        <v>44</v>
      </c>
      <c r="E62" t="str">
        <f t="shared" si="0"/>
        <v>East</v>
      </c>
      <c r="F62" t="s">
        <v>67</v>
      </c>
      <c r="G62" t="s">
        <v>19</v>
      </c>
      <c r="H62" t="s">
        <v>56</v>
      </c>
      <c r="I62">
        <v>43.09</v>
      </c>
      <c r="J62">
        <v>183.88</v>
      </c>
      <c r="K62">
        <v>4267.37</v>
      </c>
      <c r="L62" t="str">
        <f t="shared" si="1"/>
        <v>Medium</v>
      </c>
      <c r="M62" t="s">
        <v>40</v>
      </c>
      <c r="N62" t="s">
        <v>49</v>
      </c>
      <c r="O62">
        <v>277.10000000000002</v>
      </c>
      <c r="P62">
        <v>1026.6300000000001</v>
      </c>
      <c r="Q62" t="s">
        <v>23</v>
      </c>
      <c r="R62">
        <v>20.89</v>
      </c>
    </row>
    <row r="63" spans="1:18" x14ac:dyDescent="0.25">
      <c r="A63" t="s">
        <v>127</v>
      </c>
      <c r="B63" s="1">
        <v>43780</v>
      </c>
      <c r="C63">
        <v>2019</v>
      </c>
      <c r="D63" t="s">
        <v>59</v>
      </c>
      <c r="E63" t="str">
        <f t="shared" si="0"/>
        <v>East</v>
      </c>
      <c r="F63" t="s">
        <v>93</v>
      </c>
      <c r="G63" t="s">
        <v>38</v>
      </c>
      <c r="H63" t="s">
        <v>46</v>
      </c>
      <c r="I63">
        <v>13.31</v>
      </c>
      <c r="J63">
        <v>68.31</v>
      </c>
      <c r="K63">
        <v>5132.07</v>
      </c>
      <c r="L63" t="str">
        <f t="shared" si="1"/>
        <v>High</v>
      </c>
      <c r="M63" t="s">
        <v>28</v>
      </c>
      <c r="N63" t="s">
        <v>29</v>
      </c>
      <c r="O63">
        <v>285.67</v>
      </c>
      <c r="P63">
        <v>700.47</v>
      </c>
      <c r="Q63" t="s">
        <v>52</v>
      </c>
      <c r="R63">
        <v>26.57</v>
      </c>
    </row>
    <row r="64" spans="1:18" x14ac:dyDescent="0.25">
      <c r="A64" t="s">
        <v>128</v>
      </c>
      <c r="B64" s="1">
        <v>43814</v>
      </c>
      <c r="C64">
        <v>2019</v>
      </c>
      <c r="D64" t="s">
        <v>17</v>
      </c>
      <c r="E64" t="str">
        <f t="shared" si="0"/>
        <v>North</v>
      </c>
      <c r="F64" t="s">
        <v>72</v>
      </c>
      <c r="G64" t="s">
        <v>38</v>
      </c>
      <c r="H64" t="s">
        <v>64</v>
      </c>
      <c r="I64">
        <v>10.039999999999999</v>
      </c>
      <c r="J64">
        <v>67.989999999999995</v>
      </c>
      <c r="K64">
        <v>6771.47</v>
      </c>
      <c r="L64" t="str">
        <f t="shared" si="1"/>
        <v>High</v>
      </c>
      <c r="M64" t="s">
        <v>21</v>
      </c>
      <c r="N64" t="s">
        <v>29</v>
      </c>
      <c r="O64">
        <v>299.89</v>
      </c>
      <c r="P64">
        <v>872.28</v>
      </c>
      <c r="Q64" t="s">
        <v>70</v>
      </c>
      <c r="R64">
        <v>28.64</v>
      </c>
    </row>
    <row r="65" spans="1:18" x14ac:dyDescent="0.25">
      <c r="A65" t="s">
        <v>129</v>
      </c>
      <c r="B65" s="1">
        <v>43066</v>
      </c>
      <c r="C65">
        <v>2017</v>
      </c>
      <c r="D65" t="s">
        <v>59</v>
      </c>
      <c r="E65" t="str">
        <f t="shared" si="0"/>
        <v>East</v>
      </c>
      <c r="F65" t="s">
        <v>93</v>
      </c>
      <c r="G65" t="s">
        <v>38</v>
      </c>
      <c r="H65" t="s">
        <v>56</v>
      </c>
      <c r="I65">
        <v>99.7</v>
      </c>
      <c r="J65">
        <v>360.45</v>
      </c>
      <c r="K65">
        <v>3615.31</v>
      </c>
      <c r="L65" t="str">
        <f t="shared" si="1"/>
        <v>Medium</v>
      </c>
      <c r="M65" t="s">
        <v>28</v>
      </c>
      <c r="N65" t="s">
        <v>41</v>
      </c>
      <c r="O65">
        <v>292.26</v>
      </c>
      <c r="P65">
        <v>670.01</v>
      </c>
      <c r="Q65" t="s">
        <v>52</v>
      </c>
      <c r="R65">
        <v>25</v>
      </c>
    </row>
    <row r="66" spans="1:18" x14ac:dyDescent="0.25">
      <c r="A66" t="s">
        <v>130</v>
      </c>
      <c r="B66" s="1">
        <v>44604</v>
      </c>
      <c r="C66">
        <v>2021</v>
      </c>
      <c r="D66" t="s">
        <v>31</v>
      </c>
      <c r="E66" t="str">
        <f t="shared" si="0"/>
        <v>West</v>
      </c>
      <c r="F66" t="s">
        <v>32</v>
      </c>
      <c r="G66" t="s">
        <v>38</v>
      </c>
      <c r="H66" t="s">
        <v>20</v>
      </c>
      <c r="I66">
        <v>66.599999999999994</v>
      </c>
      <c r="J66">
        <v>226.62</v>
      </c>
      <c r="K66">
        <v>3402.71</v>
      </c>
      <c r="L66" t="str">
        <f t="shared" si="1"/>
        <v>Medium</v>
      </c>
      <c r="M66" t="s">
        <v>21</v>
      </c>
      <c r="N66" t="s">
        <v>47</v>
      </c>
      <c r="O66">
        <v>163.71</v>
      </c>
      <c r="P66">
        <v>514.52</v>
      </c>
      <c r="Q66" t="s">
        <v>70</v>
      </c>
      <c r="R66">
        <v>21.74</v>
      </c>
    </row>
    <row r="67" spans="1:18" x14ac:dyDescent="0.25">
      <c r="A67" t="s">
        <v>131</v>
      </c>
      <c r="B67" s="1">
        <v>43935</v>
      </c>
      <c r="C67">
        <v>2020</v>
      </c>
      <c r="D67" t="s">
        <v>44</v>
      </c>
      <c r="E67" t="str">
        <f t="shared" ref="E67:E130" si="2">INDEX($U$2:$U$8,MATCH(D67,$T$2:$T$8,0))</f>
        <v>East</v>
      </c>
      <c r="F67" t="s">
        <v>45</v>
      </c>
      <c r="G67" t="s">
        <v>19</v>
      </c>
      <c r="H67" t="s">
        <v>46</v>
      </c>
      <c r="I67">
        <v>41.91</v>
      </c>
      <c r="J67">
        <v>89.08</v>
      </c>
      <c r="K67">
        <v>2125.5</v>
      </c>
      <c r="L67" t="str">
        <f t="shared" ref="L67:L130" si="3">IF(K67&gt;=5000,"High",IF(K67&gt;=3000,"Medium","Low"))</f>
        <v>Low</v>
      </c>
      <c r="M67" t="s">
        <v>34</v>
      </c>
      <c r="N67" t="s">
        <v>49</v>
      </c>
      <c r="O67">
        <v>205.66</v>
      </c>
      <c r="P67">
        <v>698.49</v>
      </c>
      <c r="Q67" t="s">
        <v>52</v>
      </c>
      <c r="R67">
        <v>31.4</v>
      </c>
    </row>
    <row r="68" spans="1:18" x14ac:dyDescent="0.25">
      <c r="A68" t="s">
        <v>132</v>
      </c>
      <c r="B68" s="1">
        <v>41967</v>
      </c>
      <c r="C68">
        <v>2014</v>
      </c>
      <c r="D68" t="s">
        <v>59</v>
      </c>
      <c r="E68" t="str">
        <f t="shared" si="2"/>
        <v>East</v>
      </c>
      <c r="F68" t="s">
        <v>60</v>
      </c>
      <c r="G68" t="s">
        <v>38</v>
      </c>
      <c r="H68" t="s">
        <v>39</v>
      </c>
      <c r="I68">
        <v>48.99</v>
      </c>
      <c r="J68">
        <v>57.48</v>
      </c>
      <c r="K68">
        <v>1173.22</v>
      </c>
      <c r="L68" t="str">
        <f t="shared" si="3"/>
        <v>Low</v>
      </c>
      <c r="M68" t="s">
        <v>40</v>
      </c>
      <c r="N68" t="s">
        <v>41</v>
      </c>
      <c r="O68">
        <v>227.45</v>
      </c>
      <c r="P68">
        <v>510.75</v>
      </c>
      <c r="Q68" t="s">
        <v>23</v>
      </c>
      <c r="R68">
        <v>28.28</v>
      </c>
    </row>
    <row r="69" spans="1:18" x14ac:dyDescent="0.25">
      <c r="A69" t="s">
        <v>133</v>
      </c>
      <c r="B69" s="1">
        <v>42949</v>
      </c>
      <c r="C69">
        <v>2017</v>
      </c>
      <c r="D69" t="s">
        <v>44</v>
      </c>
      <c r="E69" t="str">
        <f t="shared" si="2"/>
        <v>East</v>
      </c>
      <c r="F69" t="s">
        <v>45</v>
      </c>
      <c r="G69" t="s">
        <v>33</v>
      </c>
      <c r="H69" t="s">
        <v>39</v>
      </c>
      <c r="I69">
        <v>83.38</v>
      </c>
      <c r="J69">
        <v>332.71</v>
      </c>
      <c r="K69">
        <v>3990.25</v>
      </c>
      <c r="L69" t="str">
        <f t="shared" si="3"/>
        <v>Medium</v>
      </c>
      <c r="M69" t="s">
        <v>34</v>
      </c>
      <c r="N69" t="s">
        <v>29</v>
      </c>
      <c r="O69">
        <v>177.22</v>
      </c>
      <c r="P69">
        <v>473.42</v>
      </c>
      <c r="Q69" t="s">
        <v>52</v>
      </c>
      <c r="R69">
        <v>34.700000000000003</v>
      </c>
    </row>
    <row r="70" spans="1:18" x14ac:dyDescent="0.25">
      <c r="A70" t="s">
        <v>134</v>
      </c>
      <c r="B70" s="1">
        <v>42651</v>
      </c>
      <c r="C70">
        <v>2016</v>
      </c>
      <c r="D70" t="s">
        <v>59</v>
      </c>
      <c r="E70" t="str">
        <f t="shared" si="2"/>
        <v>East</v>
      </c>
      <c r="F70" t="s">
        <v>60</v>
      </c>
      <c r="G70" t="s">
        <v>33</v>
      </c>
      <c r="H70" t="s">
        <v>27</v>
      </c>
      <c r="I70">
        <v>51.32</v>
      </c>
      <c r="J70">
        <v>322.08</v>
      </c>
      <c r="K70">
        <v>6275.96</v>
      </c>
      <c r="L70" t="str">
        <f t="shared" si="3"/>
        <v>High</v>
      </c>
      <c r="M70" t="s">
        <v>21</v>
      </c>
      <c r="N70" t="s">
        <v>49</v>
      </c>
      <c r="O70">
        <v>119.06</v>
      </c>
      <c r="P70">
        <v>990.01</v>
      </c>
      <c r="Q70" t="s">
        <v>52</v>
      </c>
      <c r="R70">
        <v>25.1</v>
      </c>
    </row>
    <row r="71" spans="1:18" x14ac:dyDescent="0.25">
      <c r="A71" t="s">
        <v>135</v>
      </c>
      <c r="B71" s="1">
        <v>41765</v>
      </c>
      <c r="C71">
        <v>2014</v>
      </c>
      <c r="D71" t="s">
        <v>44</v>
      </c>
      <c r="E71" t="str">
        <f t="shared" si="2"/>
        <v>East</v>
      </c>
      <c r="F71" t="s">
        <v>45</v>
      </c>
      <c r="G71" t="s">
        <v>19</v>
      </c>
      <c r="H71" t="s">
        <v>20</v>
      </c>
      <c r="I71">
        <v>83.91</v>
      </c>
      <c r="J71">
        <v>375.88</v>
      </c>
      <c r="K71">
        <v>4479.54</v>
      </c>
      <c r="L71" t="str">
        <f t="shared" si="3"/>
        <v>Medium</v>
      </c>
      <c r="M71" t="s">
        <v>28</v>
      </c>
      <c r="N71" t="s">
        <v>47</v>
      </c>
      <c r="O71">
        <v>266.32</v>
      </c>
      <c r="P71">
        <v>646.54999999999995</v>
      </c>
      <c r="Q71" t="s">
        <v>52</v>
      </c>
      <c r="R71">
        <v>25.18</v>
      </c>
    </row>
    <row r="72" spans="1:18" x14ac:dyDescent="0.25">
      <c r="A72" t="s">
        <v>136</v>
      </c>
      <c r="B72" s="1">
        <v>42194</v>
      </c>
      <c r="C72">
        <v>2015</v>
      </c>
      <c r="D72" t="s">
        <v>36</v>
      </c>
      <c r="E72" t="str">
        <f t="shared" si="2"/>
        <v>South</v>
      </c>
      <c r="F72" t="s">
        <v>51</v>
      </c>
      <c r="G72" t="s">
        <v>33</v>
      </c>
      <c r="H72" t="s">
        <v>39</v>
      </c>
      <c r="I72">
        <v>24.64</v>
      </c>
      <c r="J72">
        <v>81.260000000000005</v>
      </c>
      <c r="K72">
        <v>3297.83</v>
      </c>
      <c r="L72" t="str">
        <f t="shared" si="3"/>
        <v>Medium</v>
      </c>
      <c r="M72" t="s">
        <v>28</v>
      </c>
      <c r="N72" t="s">
        <v>29</v>
      </c>
      <c r="O72">
        <v>60.91</v>
      </c>
      <c r="P72">
        <v>944.71</v>
      </c>
      <c r="Q72" t="s">
        <v>52</v>
      </c>
      <c r="R72">
        <v>25.79</v>
      </c>
    </row>
    <row r="73" spans="1:18" x14ac:dyDescent="0.25">
      <c r="A73" t="s">
        <v>137</v>
      </c>
      <c r="B73" s="1">
        <v>43217</v>
      </c>
      <c r="C73">
        <v>2018</v>
      </c>
      <c r="D73" t="s">
        <v>25</v>
      </c>
      <c r="E73" t="str">
        <f t="shared" si="2"/>
        <v>North</v>
      </c>
      <c r="F73" t="s">
        <v>26</v>
      </c>
      <c r="G73" t="s">
        <v>19</v>
      </c>
      <c r="H73" t="s">
        <v>20</v>
      </c>
      <c r="I73">
        <v>87.1</v>
      </c>
      <c r="J73">
        <v>543.95000000000005</v>
      </c>
      <c r="K73">
        <v>6245.14</v>
      </c>
      <c r="L73" t="str">
        <f t="shared" si="3"/>
        <v>High</v>
      </c>
      <c r="M73" t="s">
        <v>28</v>
      </c>
      <c r="N73" t="s">
        <v>41</v>
      </c>
      <c r="O73">
        <v>74.930000000000007</v>
      </c>
      <c r="P73">
        <v>1110.44</v>
      </c>
      <c r="Q73" t="s">
        <v>23</v>
      </c>
      <c r="R73">
        <v>30.84</v>
      </c>
    </row>
    <row r="74" spans="1:18" x14ac:dyDescent="0.25">
      <c r="A74" t="s">
        <v>138</v>
      </c>
      <c r="B74" s="1">
        <v>44947</v>
      </c>
      <c r="C74">
        <v>2022</v>
      </c>
      <c r="D74" t="s">
        <v>25</v>
      </c>
      <c r="E74" t="str">
        <f t="shared" si="2"/>
        <v>North</v>
      </c>
      <c r="F74" t="s">
        <v>87</v>
      </c>
      <c r="G74" t="s">
        <v>38</v>
      </c>
      <c r="H74" t="s">
        <v>20</v>
      </c>
      <c r="I74">
        <v>62.7</v>
      </c>
      <c r="J74">
        <v>212.23</v>
      </c>
      <c r="K74">
        <v>3384.9</v>
      </c>
      <c r="L74" t="str">
        <f t="shared" si="3"/>
        <v>Medium</v>
      </c>
      <c r="M74" t="s">
        <v>21</v>
      </c>
      <c r="N74" t="s">
        <v>29</v>
      </c>
      <c r="O74">
        <v>262.94</v>
      </c>
      <c r="P74">
        <v>1052.3399999999999</v>
      </c>
      <c r="Q74" t="s">
        <v>61</v>
      </c>
      <c r="R74">
        <v>25.7</v>
      </c>
    </row>
    <row r="75" spans="1:18" x14ac:dyDescent="0.25">
      <c r="A75" t="s">
        <v>139</v>
      </c>
      <c r="B75" s="1">
        <v>40317</v>
      </c>
      <c r="C75">
        <v>2010</v>
      </c>
      <c r="D75" t="s">
        <v>44</v>
      </c>
      <c r="E75" t="str">
        <f t="shared" si="2"/>
        <v>East</v>
      </c>
      <c r="F75" t="s">
        <v>67</v>
      </c>
      <c r="G75" t="s">
        <v>19</v>
      </c>
      <c r="H75" t="s">
        <v>64</v>
      </c>
      <c r="I75">
        <v>24.24</v>
      </c>
      <c r="J75">
        <v>123.78</v>
      </c>
      <c r="K75">
        <v>5106.3999999999996</v>
      </c>
      <c r="L75" t="str">
        <f t="shared" si="3"/>
        <v>High</v>
      </c>
      <c r="M75" t="s">
        <v>34</v>
      </c>
      <c r="N75" t="s">
        <v>22</v>
      </c>
      <c r="O75">
        <v>299.36</v>
      </c>
      <c r="P75">
        <v>946.77</v>
      </c>
      <c r="Q75" t="s">
        <v>52</v>
      </c>
      <c r="R75">
        <v>34.68</v>
      </c>
    </row>
    <row r="76" spans="1:18" x14ac:dyDescent="0.25">
      <c r="A76" t="s">
        <v>140</v>
      </c>
      <c r="B76" s="1">
        <v>44645</v>
      </c>
      <c r="C76">
        <v>2021</v>
      </c>
      <c r="D76" t="s">
        <v>36</v>
      </c>
      <c r="E76" t="str">
        <f t="shared" si="2"/>
        <v>South</v>
      </c>
      <c r="F76" t="s">
        <v>37</v>
      </c>
      <c r="G76" t="s">
        <v>38</v>
      </c>
      <c r="H76" t="s">
        <v>64</v>
      </c>
      <c r="I76">
        <v>5.55</v>
      </c>
      <c r="J76">
        <v>32.06</v>
      </c>
      <c r="K76">
        <v>5776.86</v>
      </c>
      <c r="L76" t="str">
        <f t="shared" si="3"/>
        <v>High</v>
      </c>
      <c r="M76" t="s">
        <v>34</v>
      </c>
      <c r="N76" t="s">
        <v>41</v>
      </c>
      <c r="O76">
        <v>139.62</v>
      </c>
      <c r="P76">
        <v>630.69000000000005</v>
      </c>
      <c r="Q76" t="s">
        <v>42</v>
      </c>
      <c r="R76">
        <v>27.97</v>
      </c>
    </row>
    <row r="77" spans="1:18" x14ac:dyDescent="0.25">
      <c r="A77" t="s">
        <v>141</v>
      </c>
      <c r="B77" s="1">
        <v>40634</v>
      </c>
      <c r="C77">
        <v>2011</v>
      </c>
      <c r="D77" t="s">
        <v>103</v>
      </c>
      <c r="E77" t="str">
        <f t="shared" si="2"/>
        <v>North</v>
      </c>
      <c r="F77" t="s">
        <v>104</v>
      </c>
      <c r="G77" t="s">
        <v>19</v>
      </c>
      <c r="H77" t="s">
        <v>46</v>
      </c>
      <c r="I77">
        <v>62.35</v>
      </c>
      <c r="J77">
        <v>152.44</v>
      </c>
      <c r="K77">
        <v>2444.98</v>
      </c>
      <c r="L77" t="str">
        <f t="shared" si="3"/>
        <v>Low</v>
      </c>
      <c r="M77" t="s">
        <v>40</v>
      </c>
      <c r="N77" t="s">
        <v>29</v>
      </c>
      <c r="O77">
        <v>108.05</v>
      </c>
      <c r="P77">
        <v>837.9</v>
      </c>
      <c r="Q77" t="s">
        <v>52</v>
      </c>
      <c r="R77">
        <v>23.83</v>
      </c>
    </row>
    <row r="78" spans="1:18" x14ac:dyDescent="0.25">
      <c r="A78" t="s">
        <v>142</v>
      </c>
      <c r="B78" s="1">
        <v>43329</v>
      </c>
      <c r="C78">
        <v>2018</v>
      </c>
      <c r="D78" t="s">
        <v>31</v>
      </c>
      <c r="E78" t="str">
        <f t="shared" si="2"/>
        <v>West</v>
      </c>
      <c r="F78" t="s">
        <v>117</v>
      </c>
      <c r="G78" t="s">
        <v>33</v>
      </c>
      <c r="H78" t="s">
        <v>64</v>
      </c>
      <c r="I78">
        <v>44.73</v>
      </c>
      <c r="J78">
        <v>137.47</v>
      </c>
      <c r="K78">
        <v>3073.39</v>
      </c>
      <c r="L78" t="str">
        <f t="shared" si="3"/>
        <v>Medium</v>
      </c>
      <c r="M78" t="s">
        <v>34</v>
      </c>
      <c r="N78" t="s">
        <v>41</v>
      </c>
      <c r="O78">
        <v>209.73</v>
      </c>
      <c r="P78">
        <v>624.30999999999995</v>
      </c>
      <c r="Q78" t="s">
        <v>70</v>
      </c>
      <c r="R78">
        <v>26.85</v>
      </c>
    </row>
    <row r="79" spans="1:18" x14ac:dyDescent="0.25">
      <c r="A79" t="s">
        <v>143</v>
      </c>
      <c r="B79" s="1">
        <v>40839</v>
      </c>
      <c r="C79">
        <v>2011</v>
      </c>
      <c r="D79" t="s">
        <v>36</v>
      </c>
      <c r="E79" t="str">
        <f t="shared" si="2"/>
        <v>South</v>
      </c>
      <c r="F79" t="s">
        <v>51</v>
      </c>
      <c r="G79" t="s">
        <v>33</v>
      </c>
      <c r="H79" t="s">
        <v>46</v>
      </c>
      <c r="I79">
        <v>57.62</v>
      </c>
      <c r="J79">
        <v>256.33999999999997</v>
      </c>
      <c r="K79">
        <v>4448.87</v>
      </c>
      <c r="L79" t="str">
        <f t="shared" si="3"/>
        <v>Medium</v>
      </c>
      <c r="M79" t="s">
        <v>34</v>
      </c>
      <c r="N79" t="s">
        <v>22</v>
      </c>
      <c r="O79">
        <v>55.48</v>
      </c>
      <c r="P79">
        <v>1030.04</v>
      </c>
      <c r="Q79" t="s">
        <v>52</v>
      </c>
      <c r="R79">
        <v>24.12</v>
      </c>
    </row>
    <row r="80" spans="1:18" x14ac:dyDescent="0.25">
      <c r="A80" t="s">
        <v>144</v>
      </c>
      <c r="B80" s="1">
        <v>43050</v>
      </c>
      <c r="C80">
        <v>2017</v>
      </c>
      <c r="D80" t="s">
        <v>59</v>
      </c>
      <c r="E80" t="str">
        <f t="shared" si="2"/>
        <v>East</v>
      </c>
      <c r="F80" t="s">
        <v>93</v>
      </c>
      <c r="G80" t="s">
        <v>38</v>
      </c>
      <c r="H80" t="s">
        <v>56</v>
      </c>
      <c r="I80">
        <v>61.1</v>
      </c>
      <c r="J80">
        <v>190.26</v>
      </c>
      <c r="K80">
        <v>3113.93</v>
      </c>
      <c r="L80" t="str">
        <f t="shared" si="3"/>
        <v>Medium</v>
      </c>
      <c r="M80" t="s">
        <v>40</v>
      </c>
      <c r="N80" t="s">
        <v>49</v>
      </c>
      <c r="O80">
        <v>205.22</v>
      </c>
      <c r="P80">
        <v>877.76</v>
      </c>
      <c r="Q80" t="s">
        <v>42</v>
      </c>
      <c r="R80">
        <v>29.42</v>
      </c>
    </row>
    <row r="81" spans="1:18" x14ac:dyDescent="0.25">
      <c r="A81" t="s">
        <v>145</v>
      </c>
      <c r="B81" s="1">
        <v>40303</v>
      </c>
      <c r="C81">
        <v>2010</v>
      </c>
      <c r="D81" t="s">
        <v>44</v>
      </c>
      <c r="E81" t="str">
        <f t="shared" si="2"/>
        <v>East</v>
      </c>
      <c r="F81" t="s">
        <v>99</v>
      </c>
      <c r="G81" t="s">
        <v>19</v>
      </c>
      <c r="H81" t="s">
        <v>20</v>
      </c>
      <c r="I81">
        <v>73.5</v>
      </c>
      <c r="J81">
        <v>113.25</v>
      </c>
      <c r="K81">
        <v>1540.8</v>
      </c>
      <c r="L81" t="str">
        <f t="shared" si="3"/>
        <v>Low</v>
      </c>
      <c r="M81" t="s">
        <v>34</v>
      </c>
      <c r="N81" t="s">
        <v>49</v>
      </c>
      <c r="O81">
        <v>131.68</v>
      </c>
      <c r="P81">
        <v>615.5</v>
      </c>
      <c r="Q81" t="s">
        <v>42</v>
      </c>
      <c r="R81">
        <v>21.98</v>
      </c>
    </row>
    <row r="82" spans="1:18" x14ac:dyDescent="0.25">
      <c r="A82" t="s">
        <v>146</v>
      </c>
      <c r="B82" s="1">
        <v>41810</v>
      </c>
      <c r="C82">
        <v>2014</v>
      </c>
      <c r="D82" t="s">
        <v>59</v>
      </c>
      <c r="E82" t="str">
        <f t="shared" si="2"/>
        <v>East</v>
      </c>
      <c r="F82" t="s">
        <v>93</v>
      </c>
      <c r="G82" t="s">
        <v>33</v>
      </c>
      <c r="H82" t="s">
        <v>20</v>
      </c>
      <c r="I82">
        <v>91.49</v>
      </c>
      <c r="J82">
        <v>609.79</v>
      </c>
      <c r="K82">
        <v>6665.13</v>
      </c>
      <c r="L82" t="str">
        <f t="shared" si="3"/>
        <v>High</v>
      </c>
      <c r="M82" t="s">
        <v>34</v>
      </c>
      <c r="N82" t="s">
        <v>41</v>
      </c>
      <c r="O82">
        <v>236.64</v>
      </c>
      <c r="P82">
        <v>538.72</v>
      </c>
      <c r="Q82" t="s">
        <v>23</v>
      </c>
      <c r="R82">
        <v>27.02</v>
      </c>
    </row>
    <row r="83" spans="1:18" x14ac:dyDescent="0.25">
      <c r="A83" t="s">
        <v>147</v>
      </c>
      <c r="B83" s="1">
        <v>43951</v>
      </c>
      <c r="C83">
        <v>2020</v>
      </c>
      <c r="D83" t="s">
        <v>44</v>
      </c>
      <c r="E83" t="str">
        <f t="shared" si="2"/>
        <v>East</v>
      </c>
      <c r="F83" t="s">
        <v>45</v>
      </c>
      <c r="G83" t="s">
        <v>19</v>
      </c>
      <c r="H83" t="s">
        <v>39</v>
      </c>
      <c r="I83">
        <v>98.01</v>
      </c>
      <c r="J83">
        <v>666.82</v>
      </c>
      <c r="K83">
        <v>6803.62</v>
      </c>
      <c r="L83" t="str">
        <f t="shared" si="3"/>
        <v>High</v>
      </c>
      <c r="M83" t="s">
        <v>34</v>
      </c>
      <c r="N83" t="s">
        <v>49</v>
      </c>
      <c r="O83">
        <v>72.58</v>
      </c>
      <c r="P83">
        <v>594.57000000000005</v>
      </c>
      <c r="Q83" t="s">
        <v>70</v>
      </c>
      <c r="R83">
        <v>28.05</v>
      </c>
    </row>
    <row r="84" spans="1:18" x14ac:dyDescent="0.25">
      <c r="A84" t="s">
        <v>148</v>
      </c>
      <c r="B84" s="1">
        <v>44279</v>
      </c>
      <c r="C84">
        <v>2020</v>
      </c>
      <c r="D84" t="s">
        <v>17</v>
      </c>
      <c r="E84" t="str">
        <f t="shared" si="2"/>
        <v>North</v>
      </c>
      <c r="F84" t="s">
        <v>54</v>
      </c>
      <c r="G84" t="s">
        <v>38</v>
      </c>
      <c r="H84" t="s">
        <v>27</v>
      </c>
      <c r="I84">
        <v>38.72</v>
      </c>
      <c r="J84">
        <v>187.07</v>
      </c>
      <c r="K84">
        <v>4831.3</v>
      </c>
      <c r="L84" t="str">
        <f t="shared" si="3"/>
        <v>Medium</v>
      </c>
      <c r="M84" t="s">
        <v>34</v>
      </c>
      <c r="N84" t="s">
        <v>49</v>
      </c>
      <c r="O84">
        <v>77.09</v>
      </c>
      <c r="P84">
        <v>433.82</v>
      </c>
      <c r="Q84" t="s">
        <v>23</v>
      </c>
      <c r="R84">
        <v>29.29</v>
      </c>
    </row>
    <row r="85" spans="1:18" x14ac:dyDescent="0.25">
      <c r="A85" t="s">
        <v>149</v>
      </c>
      <c r="B85" s="1">
        <v>44060</v>
      </c>
      <c r="C85">
        <v>2020</v>
      </c>
      <c r="D85" t="s">
        <v>59</v>
      </c>
      <c r="E85" t="str">
        <f t="shared" si="2"/>
        <v>East</v>
      </c>
      <c r="F85" t="s">
        <v>60</v>
      </c>
      <c r="G85" t="s">
        <v>33</v>
      </c>
      <c r="H85" t="s">
        <v>39</v>
      </c>
      <c r="I85">
        <v>82.56</v>
      </c>
      <c r="J85">
        <v>533.03</v>
      </c>
      <c r="K85">
        <v>6456.33</v>
      </c>
      <c r="L85" t="str">
        <f t="shared" si="3"/>
        <v>High</v>
      </c>
      <c r="M85" t="s">
        <v>34</v>
      </c>
      <c r="N85" t="s">
        <v>29</v>
      </c>
      <c r="O85">
        <v>212.31</v>
      </c>
      <c r="P85">
        <v>316.68</v>
      </c>
      <c r="Q85" t="s">
        <v>23</v>
      </c>
      <c r="R85">
        <v>34.19</v>
      </c>
    </row>
    <row r="86" spans="1:18" x14ac:dyDescent="0.25">
      <c r="A86" t="s">
        <v>150</v>
      </c>
      <c r="B86" s="1">
        <v>41418</v>
      </c>
      <c r="C86">
        <v>2013</v>
      </c>
      <c r="D86" t="s">
        <v>25</v>
      </c>
      <c r="E86" t="str">
        <f t="shared" si="2"/>
        <v>North</v>
      </c>
      <c r="F86" t="s">
        <v>26</v>
      </c>
      <c r="G86" t="s">
        <v>19</v>
      </c>
      <c r="H86" t="s">
        <v>56</v>
      </c>
      <c r="I86">
        <v>39.479999999999997</v>
      </c>
      <c r="J86">
        <v>127.37</v>
      </c>
      <c r="K86">
        <v>3226.07</v>
      </c>
      <c r="L86" t="str">
        <f t="shared" si="3"/>
        <v>Medium</v>
      </c>
      <c r="M86" t="s">
        <v>28</v>
      </c>
      <c r="N86" t="s">
        <v>29</v>
      </c>
      <c r="O86">
        <v>196.84</v>
      </c>
      <c r="P86">
        <v>926.6</v>
      </c>
      <c r="Q86" t="s">
        <v>52</v>
      </c>
      <c r="R86">
        <v>29.82</v>
      </c>
    </row>
    <row r="87" spans="1:18" x14ac:dyDescent="0.25">
      <c r="A87" t="s">
        <v>151</v>
      </c>
      <c r="B87" s="1">
        <v>41882</v>
      </c>
      <c r="C87">
        <v>2014</v>
      </c>
      <c r="D87" t="s">
        <v>59</v>
      </c>
      <c r="E87" t="str">
        <f t="shared" si="2"/>
        <v>East</v>
      </c>
      <c r="F87" t="s">
        <v>63</v>
      </c>
      <c r="G87" t="s">
        <v>33</v>
      </c>
      <c r="H87" t="s">
        <v>39</v>
      </c>
      <c r="I87">
        <v>37.68</v>
      </c>
      <c r="J87">
        <v>137.91999999999999</v>
      </c>
      <c r="K87">
        <v>3660.3</v>
      </c>
      <c r="L87" t="str">
        <f t="shared" si="3"/>
        <v>Medium</v>
      </c>
      <c r="M87" t="s">
        <v>40</v>
      </c>
      <c r="N87" t="s">
        <v>22</v>
      </c>
      <c r="O87">
        <v>263.86</v>
      </c>
      <c r="P87">
        <v>299.35000000000002</v>
      </c>
      <c r="Q87" t="s">
        <v>70</v>
      </c>
      <c r="R87">
        <v>28.17</v>
      </c>
    </row>
    <row r="88" spans="1:18" x14ac:dyDescent="0.25">
      <c r="A88" t="s">
        <v>152</v>
      </c>
      <c r="B88" s="1">
        <v>41478</v>
      </c>
      <c r="C88">
        <v>2013</v>
      </c>
      <c r="D88" t="s">
        <v>36</v>
      </c>
      <c r="E88" t="str">
        <f t="shared" si="2"/>
        <v>South</v>
      </c>
      <c r="F88" t="s">
        <v>51</v>
      </c>
      <c r="G88" t="s">
        <v>33</v>
      </c>
      <c r="H88" t="s">
        <v>46</v>
      </c>
      <c r="I88">
        <v>10.08</v>
      </c>
      <c r="J88">
        <v>22.91</v>
      </c>
      <c r="K88">
        <v>2272.63</v>
      </c>
      <c r="L88" t="str">
        <f t="shared" si="3"/>
        <v>Low</v>
      </c>
      <c r="M88" t="s">
        <v>21</v>
      </c>
      <c r="N88" t="s">
        <v>22</v>
      </c>
      <c r="O88">
        <v>62.64</v>
      </c>
      <c r="P88">
        <v>533.51</v>
      </c>
      <c r="Q88" t="s">
        <v>42</v>
      </c>
      <c r="R88">
        <v>31.8</v>
      </c>
    </row>
    <row r="89" spans="1:18" x14ac:dyDescent="0.25">
      <c r="A89" t="s">
        <v>153</v>
      </c>
      <c r="B89" s="1">
        <v>41374</v>
      </c>
      <c r="C89">
        <v>2013</v>
      </c>
      <c r="D89" t="s">
        <v>44</v>
      </c>
      <c r="E89" t="str">
        <f t="shared" si="2"/>
        <v>East</v>
      </c>
      <c r="F89" t="s">
        <v>67</v>
      </c>
      <c r="G89" t="s">
        <v>19</v>
      </c>
      <c r="H89" t="s">
        <v>56</v>
      </c>
      <c r="I89">
        <v>81.489999999999995</v>
      </c>
      <c r="J89">
        <v>195.41</v>
      </c>
      <c r="K89">
        <v>2397.9899999999998</v>
      </c>
      <c r="L89" t="str">
        <f t="shared" si="3"/>
        <v>Low</v>
      </c>
      <c r="M89" t="s">
        <v>40</v>
      </c>
      <c r="N89" t="s">
        <v>41</v>
      </c>
      <c r="O89">
        <v>247.16</v>
      </c>
      <c r="P89">
        <v>795.98</v>
      </c>
      <c r="Q89" t="s">
        <v>70</v>
      </c>
      <c r="R89">
        <v>32.880000000000003</v>
      </c>
    </row>
    <row r="90" spans="1:18" x14ac:dyDescent="0.25">
      <c r="A90" t="s">
        <v>154</v>
      </c>
      <c r="B90" s="1">
        <v>44757</v>
      </c>
      <c r="C90">
        <v>2022</v>
      </c>
      <c r="D90" t="s">
        <v>59</v>
      </c>
      <c r="E90" t="str">
        <f t="shared" si="2"/>
        <v>East</v>
      </c>
      <c r="F90" t="s">
        <v>63</v>
      </c>
      <c r="G90" t="s">
        <v>33</v>
      </c>
      <c r="H90" t="s">
        <v>64</v>
      </c>
      <c r="I90">
        <v>66.44</v>
      </c>
      <c r="J90">
        <v>76.72</v>
      </c>
      <c r="K90">
        <v>1154.68</v>
      </c>
      <c r="L90" t="str">
        <f t="shared" si="3"/>
        <v>Low</v>
      </c>
      <c r="M90" t="s">
        <v>21</v>
      </c>
      <c r="N90" t="s">
        <v>49</v>
      </c>
      <c r="O90">
        <v>139.56</v>
      </c>
      <c r="P90">
        <v>988.43</v>
      </c>
      <c r="Q90" t="s">
        <v>61</v>
      </c>
      <c r="R90">
        <v>24.86</v>
      </c>
    </row>
    <row r="91" spans="1:18" x14ac:dyDescent="0.25">
      <c r="A91" t="s">
        <v>155</v>
      </c>
      <c r="B91" s="1">
        <v>44557</v>
      </c>
      <c r="C91">
        <v>2021</v>
      </c>
      <c r="D91" t="s">
        <v>25</v>
      </c>
      <c r="E91" t="str">
        <f t="shared" si="2"/>
        <v>North</v>
      </c>
      <c r="F91" t="s">
        <v>26</v>
      </c>
      <c r="G91" t="s">
        <v>38</v>
      </c>
      <c r="H91" t="s">
        <v>27</v>
      </c>
      <c r="I91">
        <v>12.25</v>
      </c>
      <c r="J91">
        <v>16.920000000000002</v>
      </c>
      <c r="K91">
        <v>1381.35</v>
      </c>
      <c r="L91" t="str">
        <f t="shared" si="3"/>
        <v>Low</v>
      </c>
      <c r="M91" t="s">
        <v>28</v>
      </c>
      <c r="N91" t="s">
        <v>47</v>
      </c>
      <c r="O91">
        <v>244.5</v>
      </c>
      <c r="P91">
        <v>713.24</v>
      </c>
      <c r="Q91" t="s">
        <v>23</v>
      </c>
      <c r="R91">
        <v>26.78</v>
      </c>
    </row>
    <row r="92" spans="1:18" x14ac:dyDescent="0.25">
      <c r="A92" t="s">
        <v>156</v>
      </c>
      <c r="B92" s="1">
        <v>44658</v>
      </c>
      <c r="C92">
        <v>2022</v>
      </c>
      <c r="D92" t="s">
        <v>25</v>
      </c>
      <c r="E92" t="str">
        <f t="shared" si="2"/>
        <v>North</v>
      </c>
      <c r="F92" t="s">
        <v>69</v>
      </c>
      <c r="G92" t="s">
        <v>19</v>
      </c>
      <c r="H92" t="s">
        <v>27</v>
      </c>
      <c r="I92">
        <v>30.86</v>
      </c>
      <c r="J92">
        <v>149.97999999999999</v>
      </c>
      <c r="K92">
        <v>4860.04</v>
      </c>
      <c r="L92" t="str">
        <f t="shared" si="3"/>
        <v>Medium</v>
      </c>
      <c r="M92" t="s">
        <v>21</v>
      </c>
      <c r="N92" t="s">
        <v>29</v>
      </c>
      <c r="O92">
        <v>65.209999999999994</v>
      </c>
      <c r="P92">
        <v>678.98</v>
      </c>
      <c r="Q92" t="s">
        <v>52</v>
      </c>
      <c r="R92">
        <v>26.39</v>
      </c>
    </row>
    <row r="93" spans="1:18" x14ac:dyDescent="0.25">
      <c r="A93" t="s">
        <v>157</v>
      </c>
      <c r="B93" s="1">
        <v>40847</v>
      </c>
      <c r="C93">
        <v>2011</v>
      </c>
      <c r="D93" t="s">
        <v>17</v>
      </c>
      <c r="E93" t="str">
        <f t="shared" si="2"/>
        <v>North</v>
      </c>
      <c r="F93" t="s">
        <v>72</v>
      </c>
      <c r="G93" t="s">
        <v>33</v>
      </c>
      <c r="H93" t="s">
        <v>20</v>
      </c>
      <c r="I93">
        <v>61.22</v>
      </c>
      <c r="J93">
        <v>85.35</v>
      </c>
      <c r="K93">
        <v>1394.09</v>
      </c>
      <c r="L93" t="str">
        <f t="shared" si="3"/>
        <v>Low</v>
      </c>
      <c r="M93" t="s">
        <v>34</v>
      </c>
      <c r="N93" t="s">
        <v>47</v>
      </c>
      <c r="O93">
        <v>206.08</v>
      </c>
      <c r="P93">
        <v>785.36</v>
      </c>
      <c r="Q93" t="s">
        <v>70</v>
      </c>
      <c r="R93">
        <v>25.71</v>
      </c>
    </row>
    <row r="94" spans="1:18" x14ac:dyDescent="0.25">
      <c r="A94" t="s">
        <v>158</v>
      </c>
      <c r="B94" s="1">
        <v>43220</v>
      </c>
      <c r="C94">
        <v>2018</v>
      </c>
      <c r="D94" t="s">
        <v>31</v>
      </c>
      <c r="E94" t="str">
        <f t="shared" si="2"/>
        <v>West</v>
      </c>
      <c r="F94" t="s">
        <v>32</v>
      </c>
      <c r="G94" t="s">
        <v>19</v>
      </c>
      <c r="H94" t="s">
        <v>46</v>
      </c>
      <c r="I94">
        <v>10.82</v>
      </c>
      <c r="J94">
        <v>56.38</v>
      </c>
      <c r="K94">
        <v>5210.68</v>
      </c>
      <c r="L94" t="str">
        <f t="shared" si="3"/>
        <v>High</v>
      </c>
      <c r="M94" t="s">
        <v>40</v>
      </c>
      <c r="N94" t="s">
        <v>29</v>
      </c>
      <c r="O94">
        <v>157.52000000000001</v>
      </c>
      <c r="P94">
        <v>1088.0899999999999</v>
      </c>
      <c r="Q94" t="s">
        <v>52</v>
      </c>
      <c r="R94">
        <v>25.08</v>
      </c>
    </row>
    <row r="95" spans="1:18" x14ac:dyDescent="0.25">
      <c r="A95" t="s">
        <v>159</v>
      </c>
      <c r="B95" s="1">
        <v>40871</v>
      </c>
      <c r="C95">
        <v>2011</v>
      </c>
      <c r="D95" t="s">
        <v>36</v>
      </c>
      <c r="E95" t="str">
        <f t="shared" si="2"/>
        <v>South</v>
      </c>
      <c r="F95" t="s">
        <v>77</v>
      </c>
      <c r="G95" t="s">
        <v>38</v>
      </c>
      <c r="H95" t="s">
        <v>46</v>
      </c>
      <c r="I95">
        <v>31.94</v>
      </c>
      <c r="J95">
        <v>80.790000000000006</v>
      </c>
      <c r="K95">
        <v>2529.34</v>
      </c>
      <c r="L95" t="str">
        <f t="shared" si="3"/>
        <v>Low</v>
      </c>
      <c r="M95" t="s">
        <v>40</v>
      </c>
      <c r="N95" t="s">
        <v>29</v>
      </c>
      <c r="O95">
        <v>221.71</v>
      </c>
      <c r="P95">
        <v>674.27</v>
      </c>
      <c r="Q95" t="s">
        <v>23</v>
      </c>
      <c r="R95">
        <v>32.479999999999997</v>
      </c>
    </row>
    <row r="96" spans="1:18" x14ac:dyDescent="0.25">
      <c r="A96" t="s">
        <v>160</v>
      </c>
      <c r="B96" s="1">
        <v>44514</v>
      </c>
      <c r="C96">
        <v>2021</v>
      </c>
      <c r="D96" t="s">
        <v>25</v>
      </c>
      <c r="E96" t="str">
        <f t="shared" si="2"/>
        <v>North</v>
      </c>
      <c r="F96" t="s">
        <v>69</v>
      </c>
      <c r="G96" t="s">
        <v>38</v>
      </c>
      <c r="H96" t="s">
        <v>56</v>
      </c>
      <c r="I96">
        <v>56.08</v>
      </c>
      <c r="J96">
        <v>253.41</v>
      </c>
      <c r="K96">
        <v>4518.79</v>
      </c>
      <c r="L96" t="str">
        <f t="shared" si="3"/>
        <v>Medium</v>
      </c>
      <c r="M96" t="s">
        <v>34</v>
      </c>
      <c r="N96" t="s">
        <v>49</v>
      </c>
      <c r="O96">
        <v>217.5</v>
      </c>
      <c r="P96">
        <v>610.80999999999995</v>
      </c>
      <c r="Q96" t="s">
        <v>52</v>
      </c>
      <c r="R96">
        <v>33.020000000000003</v>
      </c>
    </row>
    <row r="97" spans="1:18" x14ac:dyDescent="0.25">
      <c r="A97" t="s">
        <v>161</v>
      </c>
      <c r="B97" s="1">
        <v>42227</v>
      </c>
      <c r="C97">
        <v>2015</v>
      </c>
      <c r="D97" t="s">
        <v>59</v>
      </c>
      <c r="E97" t="str">
        <f t="shared" si="2"/>
        <v>East</v>
      </c>
      <c r="F97" t="s">
        <v>63</v>
      </c>
      <c r="G97" t="s">
        <v>33</v>
      </c>
      <c r="H97" t="s">
        <v>27</v>
      </c>
      <c r="I97">
        <v>51.23</v>
      </c>
      <c r="J97">
        <v>98.79</v>
      </c>
      <c r="K97">
        <v>1928.38</v>
      </c>
      <c r="L97" t="str">
        <f t="shared" si="3"/>
        <v>Low</v>
      </c>
      <c r="M97" t="s">
        <v>28</v>
      </c>
      <c r="N97" t="s">
        <v>47</v>
      </c>
      <c r="O97">
        <v>106.06</v>
      </c>
      <c r="P97">
        <v>308.22000000000003</v>
      </c>
      <c r="Q97" t="s">
        <v>61</v>
      </c>
      <c r="R97">
        <v>25.51</v>
      </c>
    </row>
    <row r="98" spans="1:18" x14ac:dyDescent="0.25">
      <c r="A98" t="s">
        <v>162</v>
      </c>
      <c r="B98" s="1">
        <v>43213</v>
      </c>
      <c r="C98">
        <v>2018</v>
      </c>
      <c r="D98" t="s">
        <v>103</v>
      </c>
      <c r="E98" t="str">
        <f t="shared" si="2"/>
        <v>North</v>
      </c>
      <c r="F98" t="s">
        <v>107</v>
      </c>
      <c r="G98" t="s">
        <v>19</v>
      </c>
      <c r="H98" t="s">
        <v>27</v>
      </c>
      <c r="I98">
        <v>67.819999999999993</v>
      </c>
      <c r="J98">
        <v>294.37</v>
      </c>
      <c r="K98">
        <v>4340.4399999999996</v>
      </c>
      <c r="L98" t="str">
        <f t="shared" si="3"/>
        <v>Medium</v>
      </c>
      <c r="M98" t="s">
        <v>34</v>
      </c>
      <c r="N98" t="s">
        <v>22</v>
      </c>
      <c r="O98">
        <v>57.24</v>
      </c>
      <c r="P98">
        <v>473.27</v>
      </c>
      <c r="Q98" t="s">
        <v>70</v>
      </c>
      <c r="R98">
        <v>33.82</v>
      </c>
    </row>
    <row r="99" spans="1:18" x14ac:dyDescent="0.25">
      <c r="A99" t="s">
        <v>163</v>
      </c>
      <c r="B99" s="1">
        <v>43577</v>
      </c>
      <c r="C99">
        <v>2019</v>
      </c>
      <c r="D99" t="s">
        <v>103</v>
      </c>
      <c r="E99" t="str">
        <f t="shared" si="2"/>
        <v>North</v>
      </c>
      <c r="F99" t="s">
        <v>104</v>
      </c>
      <c r="G99" t="s">
        <v>19</v>
      </c>
      <c r="H99" t="s">
        <v>46</v>
      </c>
      <c r="I99">
        <v>7.89</v>
      </c>
      <c r="J99">
        <v>42.97</v>
      </c>
      <c r="K99">
        <v>5445.81</v>
      </c>
      <c r="L99" t="str">
        <f t="shared" si="3"/>
        <v>High</v>
      </c>
      <c r="M99" t="s">
        <v>21</v>
      </c>
      <c r="N99" t="s">
        <v>41</v>
      </c>
      <c r="O99">
        <v>72.94</v>
      </c>
      <c r="P99">
        <v>730.48</v>
      </c>
      <c r="Q99" t="s">
        <v>52</v>
      </c>
      <c r="R99">
        <v>26.3</v>
      </c>
    </row>
    <row r="100" spans="1:18" x14ac:dyDescent="0.25">
      <c r="A100" t="s">
        <v>164</v>
      </c>
      <c r="B100" s="1">
        <v>44609</v>
      </c>
      <c r="C100">
        <v>2021</v>
      </c>
      <c r="D100" t="s">
        <v>31</v>
      </c>
      <c r="E100" t="str">
        <f t="shared" si="2"/>
        <v>West</v>
      </c>
      <c r="F100" t="s">
        <v>32</v>
      </c>
      <c r="G100" t="s">
        <v>38</v>
      </c>
      <c r="H100" t="s">
        <v>27</v>
      </c>
      <c r="I100">
        <v>60.03</v>
      </c>
      <c r="J100">
        <v>378.19</v>
      </c>
      <c r="K100">
        <v>6300.05</v>
      </c>
      <c r="L100" t="str">
        <f t="shared" si="3"/>
        <v>High</v>
      </c>
      <c r="M100" t="s">
        <v>40</v>
      </c>
      <c r="N100" t="s">
        <v>29</v>
      </c>
      <c r="O100">
        <v>89.35</v>
      </c>
      <c r="P100">
        <v>817.84</v>
      </c>
      <c r="Q100" t="s">
        <v>23</v>
      </c>
      <c r="R100">
        <v>24.08</v>
      </c>
    </row>
    <row r="101" spans="1:18" x14ac:dyDescent="0.25">
      <c r="A101" t="s">
        <v>165</v>
      </c>
      <c r="B101" s="1">
        <v>42753</v>
      </c>
      <c r="C101">
        <v>2016</v>
      </c>
      <c r="D101" t="s">
        <v>59</v>
      </c>
      <c r="E101" t="str">
        <f t="shared" si="2"/>
        <v>East</v>
      </c>
      <c r="F101" t="s">
        <v>63</v>
      </c>
      <c r="G101" t="s">
        <v>38</v>
      </c>
      <c r="H101" t="s">
        <v>56</v>
      </c>
      <c r="I101">
        <v>75.739999999999995</v>
      </c>
      <c r="J101">
        <v>127.46</v>
      </c>
      <c r="K101">
        <v>1682.91</v>
      </c>
      <c r="L101" t="str">
        <f t="shared" si="3"/>
        <v>Low</v>
      </c>
      <c r="M101" t="s">
        <v>28</v>
      </c>
      <c r="N101" t="s">
        <v>22</v>
      </c>
      <c r="O101">
        <v>77.72</v>
      </c>
      <c r="P101">
        <v>878.22</v>
      </c>
      <c r="Q101" t="s">
        <v>61</v>
      </c>
      <c r="R101">
        <v>27.3</v>
      </c>
    </row>
    <row r="102" spans="1:18" x14ac:dyDescent="0.25">
      <c r="A102" t="s">
        <v>166</v>
      </c>
      <c r="B102" s="1">
        <v>43727</v>
      </c>
      <c r="C102">
        <v>2019</v>
      </c>
      <c r="D102" t="s">
        <v>103</v>
      </c>
      <c r="E102" t="str">
        <f t="shared" si="2"/>
        <v>North</v>
      </c>
      <c r="F102" t="s">
        <v>107</v>
      </c>
      <c r="G102" t="s">
        <v>33</v>
      </c>
      <c r="H102" t="s">
        <v>64</v>
      </c>
      <c r="I102">
        <v>21.24</v>
      </c>
      <c r="J102">
        <v>141.71</v>
      </c>
      <c r="K102">
        <v>6671.94</v>
      </c>
      <c r="L102" t="str">
        <f t="shared" si="3"/>
        <v>High</v>
      </c>
      <c r="M102" t="s">
        <v>40</v>
      </c>
      <c r="N102" t="s">
        <v>41</v>
      </c>
      <c r="O102">
        <v>241.04</v>
      </c>
      <c r="P102">
        <v>489.45</v>
      </c>
      <c r="Q102" t="s">
        <v>23</v>
      </c>
      <c r="R102">
        <v>20.12</v>
      </c>
    </row>
    <row r="103" spans="1:18" x14ac:dyDescent="0.25">
      <c r="A103" t="s">
        <v>167</v>
      </c>
      <c r="B103" s="1">
        <v>43220</v>
      </c>
      <c r="C103">
        <v>2018</v>
      </c>
      <c r="D103" t="s">
        <v>103</v>
      </c>
      <c r="E103" t="str">
        <f t="shared" si="2"/>
        <v>North</v>
      </c>
      <c r="F103" t="s">
        <v>107</v>
      </c>
      <c r="G103" t="s">
        <v>19</v>
      </c>
      <c r="H103" t="s">
        <v>56</v>
      </c>
      <c r="I103">
        <v>50.53</v>
      </c>
      <c r="J103">
        <v>303.19</v>
      </c>
      <c r="K103">
        <v>6000.13</v>
      </c>
      <c r="L103" t="str">
        <f t="shared" si="3"/>
        <v>High</v>
      </c>
      <c r="M103" t="s">
        <v>34</v>
      </c>
      <c r="N103" t="s">
        <v>22</v>
      </c>
      <c r="O103">
        <v>68.02</v>
      </c>
      <c r="P103">
        <v>1061.76</v>
      </c>
      <c r="Q103" t="s">
        <v>23</v>
      </c>
      <c r="R103">
        <v>26.54</v>
      </c>
    </row>
    <row r="104" spans="1:18" x14ac:dyDescent="0.25">
      <c r="A104" t="s">
        <v>168</v>
      </c>
      <c r="B104" s="1">
        <v>43887</v>
      </c>
      <c r="C104">
        <v>2019</v>
      </c>
      <c r="D104" t="s">
        <v>44</v>
      </c>
      <c r="E104" t="str">
        <f t="shared" si="2"/>
        <v>East</v>
      </c>
      <c r="F104" t="s">
        <v>99</v>
      </c>
      <c r="G104" t="s">
        <v>38</v>
      </c>
      <c r="H104" t="s">
        <v>27</v>
      </c>
      <c r="I104">
        <v>41.04</v>
      </c>
      <c r="J104">
        <v>198.67</v>
      </c>
      <c r="K104">
        <v>4840.8500000000004</v>
      </c>
      <c r="L104" t="str">
        <f t="shared" si="3"/>
        <v>Medium</v>
      </c>
      <c r="M104" t="s">
        <v>34</v>
      </c>
      <c r="N104" t="s">
        <v>49</v>
      </c>
      <c r="O104">
        <v>78.790000000000006</v>
      </c>
      <c r="P104">
        <v>220.86</v>
      </c>
      <c r="Q104" t="s">
        <v>70</v>
      </c>
      <c r="R104">
        <v>22.58</v>
      </c>
    </row>
    <row r="105" spans="1:18" x14ac:dyDescent="0.25">
      <c r="A105" t="s">
        <v>169</v>
      </c>
      <c r="B105" s="1">
        <v>40738</v>
      </c>
      <c r="C105">
        <v>2011</v>
      </c>
      <c r="D105" t="s">
        <v>25</v>
      </c>
      <c r="E105" t="str">
        <f t="shared" si="2"/>
        <v>North</v>
      </c>
      <c r="F105" t="s">
        <v>87</v>
      </c>
      <c r="G105" t="s">
        <v>33</v>
      </c>
      <c r="H105" t="s">
        <v>46</v>
      </c>
      <c r="I105">
        <v>59.3</v>
      </c>
      <c r="J105">
        <v>245.73</v>
      </c>
      <c r="K105">
        <v>4143.78</v>
      </c>
      <c r="L105" t="str">
        <f t="shared" si="3"/>
        <v>Medium</v>
      </c>
      <c r="M105" t="s">
        <v>28</v>
      </c>
      <c r="N105" t="s">
        <v>22</v>
      </c>
      <c r="O105">
        <v>267.63</v>
      </c>
      <c r="P105">
        <v>945.8</v>
      </c>
      <c r="Q105" t="s">
        <v>42</v>
      </c>
      <c r="R105">
        <v>25</v>
      </c>
    </row>
    <row r="106" spans="1:18" x14ac:dyDescent="0.25">
      <c r="A106" t="s">
        <v>170</v>
      </c>
      <c r="B106" s="1">
        <v>40643</v>
      </c>
      <c r="C106">
        <v>2011</v>
      </c>
      <c r="D106" t="s">
        <v>59</v>
      </c>
      <c r="E106" t="str">
        <f t="shared" si="2"/>
        <v>East</v>
      </c>
      <c r="F106" t="s">
        <v>93</v>
      </c>
      <c r="G106" t="s">
        <v>19</v>
      </c>
      <c r="H106" t="s">
        <v>27</v>
      </c>
      <c r="I106">
        <v>20.2</v>
      </c>
      <c r="J106">
        <v>114.28</v>
      </c>
      <c r="K106">
        <v>5657.37</v>
      </c>
      <c r="L106" t="str">
        <f t="shared" si="3"/>
        <v>High</v>
      </c>
      <c r="M106" t="s">
        <v>34</v>
      </c>
      <c r="N106" t="s">
        <v>49</v>
      </c>
      <c r="O106">
        <v>231.84</v>
      </c>
      <c r="P106">
        <v>1018.95</v>
      </c>
      <c r="Q106" t="s">
        <v>42</v>
      </c>
      <c r="R106">
        <v>23.54</v>
      </c>
    </row>
    <row r="107" spans="1:18" x14ac:dyDescent="0.25">
      <c r="A107" t="s">
        <v>171</v>
      </c>
      <c r="B107" s="1">
        <v>43761</v>
      </c>
      <c r="C107">
        <v>2019</v>
      </c>
      <c r="D107" t="s">
        <v>103</v>
      </c>
      <c r="E107" t="str">
        <f t="shared" si="2"/>
        <v>North</v>
      </c>
      <c r="F107" t="s">
        <v>104</v>
      </c>
      <c r="G107" t="s">
        <v>33</v>
      </c>
      <c r="H107" t="s">
        <v>39</v>
      </c>
      <c r="I107">
        <v>8.4600000000000009</v>
      </c>
      <c r="J107">
        <v>56.75</v>
      </c>
      <c r="K107">
        <v>6707.75</v>
      </c>
      <c r="L107" t="str">
        <f t="shared" si="3"/>
        <v>High</v>
      </c>
      <c r="M107" t="s">
        <v>28</v>
      </c>
      <c r="N107" t="s">
        <v>47</v>
      </c>
      <c r="O107">
        <v>165.99</v>
      </c>
      <c r="P107">
        <v>763.74</v>
      </c>
      <c r="Q107" t="s">
        <v>61</v>
      </c>
      <c r="R107">
        <v>26.73</v>
      </c>
    </row>
    <row r="108" spans="1:18" x14ac:dyDescent="0.25">
      <c r="A108" t="s">
        <v>172</v>
      </c>
      <c r="B108" s="1">
        <v>42235</v>
      </c>
      <c r="C108">
        <v>2015</v>
      </c>
      <c r="D108" t="s">
        <v>31</v>
      </c>
      <c r="E108" t="str">
        <f t="shared" si="2"/>
        <v>West</v>
      </c>
      <c r="F108" t="s">
        <v>117</v>
      </c>
      <c r="G108" t="s">
        <v>33</v>
      </c>
      <c r="H108" t="s">
        <v>46</v>
      </c>
      <c r="I108">
        <v>7.76</v>
      </c>
      <c r="J108">
        <v>28.35</v>
      </c>
      <c r="K108">
        <v>3653.25</v>
      </c>
      <c r="L108" t="str">
        <f t="shared" si="3"/>
        <v>Medium</v>
      </c>
      <c r="M108" t="s">
        <v>34</v>
      </c>
      <c r="N108" t="s">
        <v>29</v>
      </c>
      <c r="O108">
        <v>249.08</v>
      </c>
      <c r="P108">
        <v>791.42</v>
      </c>
      <c r="Q108" t="s">
        <v>70</v>
      </c>
      <c r="R108">
        <v>27.61</v>
      </c>
    </row>
    <row r="109" spans="1:18" x14ac:dyDescent="0.25">
      <c r="A109" t="s">
        <v>173</v>
      </c>
      <c r="B109" s="1">
        <v>40493</v>
      </c>
      <c r="C109">
        <v>2010</v>
      </c>
      <c r="D109" t="s">
        <v>36</v>
      </c>
      <c r="E109" t="str">
        <f t="shared" si="2"/>
        <v>South</v>
      </c>
      <c r="F109" t="s">
        <v>37</v>
      </c>
      <c r="G109" t="s">
        <v>38</v>
      </c>
      <c r="H109" t="s">
        <v>20</v>
      </c>
      <c r="I109">
        <v>8.6</v>
      </c>
      <c r="J109">
        <v>53.2</v>
      </c>
      <c r="K109">
        <v>6185.5</v>
      </c>
      <c r="L109" t="str">
        <f t="shared" si="3"/>
        <v>High</v>
      </c>
      <c r="M109" t="s">
        <v>21</v>
      </c>
      <c r="N109" t="s">
        <v>29</v>
      </c>
      <c r="O109">
        <v>203.75</v>
      </c>
      <c r="P109">
        <v>707.07</v>
      </c>
      <c r="Q109" t="s">
        <v>52</v>
      </c>
      <c r="R109">
        <v>28.7</v>
      </c>
    </row>
    <row r="110" spans="1:18" x14ac:dyDescent="0.25">
      <c r="A110" t="s">
        <v>174</v>
      </c>
      <c r="B110" s="1">
        <v>44004</v>
      </c>
      <c r="C110">
        <v>2020</v>
      </c>
      <c r="D110" t="s">
        <v>44</v>
      </c>
      <c r="E110" t="str">
        <f t="shared" si="2"/>
        <v>East</v>
      </c>
      <c r="F110" t="s">
        <v>67</v>
      </c>
      <c r="G110" t="s">
        <v>33</v>
      </c>
      <c r="H110" t="s">
        <v>20</v>
      </c>
      <c r="I110">
        <v>60.9</v>
      </c>
      <c r="J110">
        <v>244.1</v>
      </c>
      <c r="K110">
        <v>4008.2</v>
      </c>
      <c r="L110" t="str">
        <f t="shared" si="3"/>
        <v>Medium</v>
      </c>
      <c r="M110" t="s">
        <v>21</v>
      </c>
      <c r="N110" t="s">
        <v>47</v>
      </c>
      <c r="O110">
        <v>162.63</v>
      </c>
      <c r="P110">
        <v>1010.97</v>
      </c>
      <c r="Q110" t="s">
        <v>70</v>
      </c>
      <c r="R110">
        <v>34.74</v>
      </c>
    </row>
    <row r="111" spans="1:18" x14ac:dyDescent="0.25">
      <c r="A111" t="s">
        <v>175</v>
      </c>
      <c r="B111" s="1">
        <v>40416</v>
      </c>
      <c r="C111">
        <v>2010</v>
      </c>
      <c r="D111" t="s">
        <v>17</v>
      </c>
      <c r="E111" t="str">
        <f t="shared" si="2"/>
        <v>North</v>
      </c>
      <c r="F111" t="s">
        <v>18</v>
      </c>
      <c r="G111" t="s">
        <v>33</v>
      </c>
      <c r="H111" t="s">
        <v>39</v>
      </c>
      <c r="I111">
        <v>44.34</v>
      </c>
      <c r="J111">
        <v>161.24</v>
      </c>
      <c r="K111">
        <v>3636.53</v>
      </c>
      <c r="L111" t="str">
        <f t="shared" si="3"/>
        <v>Medium</v>
      </c>
      <c r="M111" t="s">
        <v>40</v>
      </c>
      <c r="N111" t="s">
        <v>47</v>
      </c>
      <c r="O111">
        <v>140.97</v>
      </c>
      <c r="P111">
        <v>1117.94</v>
      </c>
      <c r="Q111" t="s">
        <v>52</v>
      </c>
      <c r="R111">
        <v>26.13</v>
      </c>
    </row>
    <row r="112" spans="1:18" x14ac:dyDescent="0.25">
      <c r="A112" t="s">
        <v>176</v>
      </c>
      <c r="B112" s="1">
        <v>44221</v>
      </c>
      <c r="C112">
        <v>2020</v>
      </c>
      <c r="D112" t="s">
        <v>25</v>
      </c>
      <c r="E112" t="str">
        <f t="shared" si="2"/>
        <v>North</v>
      </c>
      <c r="F112" t="s">
        <v>69</v>
      </c>
      <c r="G112" t="s">
        <v>38</v>
      </c>
      <c r="H112" t="s">
        <v>64</v>
      </c>
      <c r="I112">
        <v>33.64</v>
      </c>
      <c r="J112">
        <v>146.26</v>
      </c>
      <c r="K112">
        <v>4347.78</v>
      </c>
      <c r="L112" t="str">
        <f t="shared" si="3"/>
        <v>Medium</v>
      </c>
      <c r="M112" t="s">
        <v>28</v>
      </c>
      <c r="N112" t="s">
        <v>22</v>
      </c>
      <c r="O112">
        <v>121.04</v>
      </c>
      <c r="P112">
        <v>923.73</v>
      </c>
      <c r="Q112" t="s">
        <v>61</v>
      </c>
      <c r="R112">
        <v>33.1</v>
      </c>
    </row>
    <row r="113" spans="1:18" x14ac:dyDescent="0.25">
      <c r="A113" t="s">
        <v>177</v>
      </c>
      <c r="B113" s="1">
        <v>41310</v>
      </c>
      <c r="C113">
        <v>2012</v>
      </c>
      <c r="D113" t="s">
        <v>59</v>
      </c>
      <c r="E113" t="str">
        <f t="shared" si="2"/>
        <v>East</v>
      </c>
      <c r="F113" t="s">
        <v>93</v>
      </c>
      <c r="G113" t="s">
        <v>38</v>
      </c>
      <c r="H113" t="s">
        <v>20</v>
      </c>
      <c r="I113">
        <v>96.8</v>
      </c>
      <c r="J113">
        <v>502.48</v>
      </c>
      <c r="K113">
        <v>5190.88</v>
      </c>
      <c r="L113" t="str">
        <f t="shared" si="3"/>
        <v>High</v>
      </c>
      <c r="M113" t="s">
        <v>28</v>
      </c>
      <c r="N113" t="s">
        <v>49</v>
      </c>
      <c r="O113">
        <v>82.24</v>
      </c>
      <c r="P113">
        <v>908.83</v>
      </c>
      <c r="Q113" t="s">
        <v>23</v>
      </c>
      <c r="R113">
        <v>24.64</v>
      </c>
    </row>
    <row r="114" spans="1:18" x14ac:dyDescent="0.25">
      <c r="A114" t="s">
        <v>178</v>
      </c>
      <c r="B114" s="1">
        <v>43941</v>
      </c>
      <c r="C114">
        <v>2020</v>
      </c>
      <c r="D114" t="s">
        <v>44</v>
      </c>
      <c r="E114" t="str">
        <f t="shared" si="2"/>
        <v>East</v>
      </c>
      <c r="F114" t="s">
        <v>45</v>
      </c>
      <c r="G114" t="s">
        <v>19</v>
      </c>
      <c r="H114" t="s">
        <v>39</v>
      </c>
      <c r="I114">
        <v>99.72</v>
      </c>
      <c r="J114">
        <v>645.66</v>
      </c>
      <c r="K114">
        <v>6474.69</v>
      </c>
      <c r="L114" t="str">
        <f t="shared" si="3"/>
        <v>High</v>
      </c>
      <c r="M114" t="s">
        <v>21</v>
      </c>
      <c r="N114" t="s">
        <v>41</v>
      </c>
      <c r="O114">
        <v>211.51</v>
      </c>
      <c r="P114">
        <v>623.41</v>
      </c>
      <c r="Q114" t="s">
        <v>70</v>
      </c>
      <c r="R114">
        <v>20.27</v>
      </c>
    </row>
    <row r="115" spans="1:18" x14ac:dyDescent="0.25">
      <c r="A115" t="s">
        <v>179</v>
      </c>
      <c r="B115" s="1">
        <v>45000</v>
      </c>
      <c r="C115">
        <v>2022</v>
      </c>
      <c r="D115" t="s">
        <v>103</v>
      </c>
      <c r="E115" t="str">
        <f t="shared" si="2"/>
        <v>North</v>
      </c>
      <c r="F115" t="s">
        <v>107</v>
      </c>
      <c r="G115" t="s">
        <v>38</v>
      </c>
      <c r="H115" t="s">
        <v>56</v>
      </c>
      <c r="I115">
        <v>23.43</v>
      </c>
      <c r="J115">
        <v>42.77</v>
      </c>
      <c r="K115">
        <v>1825.39</v>
      </c>
      <c r="L115" t="str">
        <f t="shared" si="3"/>
        <v>Low</v>
      </c>
      <c r="M115" t="s">
        <v>21</v>
      </c>
      <c r="N115" t="s">
        <v>22</v>
      </c>
      <c r="O115">
        <v>123.95</v>
      </c>
      <c r="P115">
        <v>988.12</v>
      </c>
      <c r="Q115" t="s">
        <v>61</v>
      </c>
      <c r="R115">
        <v>31.56</v>
      </c>
    </row>
    <row r="116" spans="1:18" x14ac:dyDescent="0.25">
      <c r="A116" t="s">
        <v>180</v>
      </c>
      <c r="B116" s="1">
        <v>44654</v>
      </c>
      <c r="C116">
        <v>2022</v>
      </c>
      <c r="D116" t="s">
        <v>17</v>
      </c>
      <c r="E116" t="str">
        <f t="shared" si="2"/>
        <v>North</v>
      </c>
      <c r="F116" t="s">
        <v>72</v>
      </c>
      <c r="G116" t="s">
        <v>19</v>
      </c>
      <c r="H116" t="s">
        <v>56</v>
      </c>
      <c r="I116">
        <v>60.13</v>
      </c>
      <c r="J116">
        <v>115.78</v>
      </c>
      <c r="K116">
        <v>1925.52</v>
      </c>
      <c r="L116" t="str">
        <f t="shared" si="3"/>
        <v>Low</v>
      </c>
      <c r="M116" t="s">
        <v>40</v>
      </c>
      <c r="N116" t="s">
        <v>29</v>
      </c>
      <c r="O116">
        <v>257.83999999999997</v>
      </c>
      <c r="P116">
        <v>971.1</v>
      </c>
      <c r="Q116" t="s">
        <v>42</v>
      </c>
      <c r="R116">
        <v>30.82</v>
      </c>
    </row>
    <row r="117" spans="1:18" x14ac:dyDescent="0.25">
      <c r="A117" t="s">
        <v>181</v>
      </c>
      <c r="B117" s="1">
        <v>44397</v>
      </c>
      <c r="C117">
        <v>2021</v>
      </c>
      <c r="D117" t="s">
        <v>31</v>
      </c>
      <c r="E117" t="str">
        <f t="shared" si="2"/>
        <v>West</v>
      </c>
      <c r="F117" t="s">
        <v>117</v>
      </c>
      <c r="G117" t="s">
        <v>33</v>
      </c>
      <c r="H117" t="s">
        <v>46</v>
      </c>
      <c r="I117">
        <v>61.45</v>
      </c>
      <c r="J117">
        <v>338.86</v>
      </c>
      <c r="K117">
        <v>5514.35</v>
      </c>
      <c r="L117" t="str">
        <f t="shared" si="3"/>
        <v>High</v>
      </c>
      <c r="M117" t="s">
        <v>28</v>
      </c>
      <c r="N117" t="s">
        <v>49</v>
      </c>
      <c r="O117">
        <v>108.5</v>
      </c>
      <c r="P117">
        <v>439.17</v>
      </c>
      <c r="Q117" t="s">
        <v>52</v>
      </c>
      <c r="R117">
        <v>33.56</v>
      </c>
    </row>
    <row r="118" spans="1:18" x14ac:dyDescent="0.25">
      <c r="A118" t="s">
        <v>182</v>
      </c>
      <c r="B118" s="1">
        <v>43104</v>
      </c>
      <c r="C118">
        <v>2017</v>
      </c>
      <c r="D118" t="s">
        <v>17</v>
      </c>
      <c r="E118" t="str">
        <f t="shared" si="2"/>
        <v>North</v>
      </c>
      <c r="F118" t="s">
        <v>54</v>
      </c>
      <c r="G118" t="s">
        <v>38</v>
      </c>
      <c r="H118" t="s">
        <v>20</v>
      </c>
      <c r="I118">
        <v>78.03</v>
      </c>
      <c r="J118">
        <v>313.48</v>
      </c>
      <c r="K118">
        <v>4017.44</v>
      </c>
      <c r="L118" t="str">
        <f t="shared" si="3"/>
        <v>Medium</v>
      </c>
      <c r="M118" t="s">
        <v>28</v>
      </c>
      <c r="N118" t="s">
        <v>22</v>
      </c>
      <c r="O118">
        <v>291.57</v>
      </c>
      <c r="P118">
        <v>1016.89</v>
      </c>
      <c r="Q118" t="s">
        <v>61</v>
      </c>
      <c r="R118">
        <v>22.08</v>
      </c>
    </row>
    <row r="119" spans="1:18" x14ac:dyDescent="0.25">
      <c r="A119" t="s">
        <v>183</v>
      </c>
      <c r="B119" s="1">
        <v>42127</v>
      </c>
      <c r="C119">
        <v>2015</v>
      </c>
      <c r="D119" t="s">
        <v>17</v>
      </c>
      <c r="E119" t="str">
        <f t="shared" si="2"/>
        <v>North</v>
      </c>
      <c r="F119" t="s">
        <v>72</v>
      </c>
      <c r="G119" t="s">
        <v>19</v>
      </c>
      <c r="H119" t="s">
        <v>64</v>
      </c>
      <c r="I119">
        <v>71.430000000000007</v>
      </c>
      <c r="J119">
        <v>292.54000000000002</v>
      </c>
      <c r="K119">
        <v>4095.46</v>
      </c>
      <c r="L119" t="str">
        <f t="shared" si="3"/>
        <v>Medium</v>
      </c>
      <c r="M119" t="s">
        <v>21</v>
      </c>
      <c r="N119" t="s">
        <v>41</v>
      </c>
      <c r="O119">
        <v>121.27</v>
      </c>
      <c r="P119">
        <v>963.12</v>
      </c>
      <c r="Q119" t="s">
        <v>70</v>
      </c>
      <c r="R119">
        <v>26.74</v>
      </c>
    </row>
    <row r="120" spans="1:18" x14ac:dyDescent="0.25">
      <c r="A120" t="s">
        <v>184</v>
      </c>
      <c r="B120" s="1">
        <v>40715</v>
      </c>
      <c r="C120">
        <v>2011</v>
      </c>
      <c r="D120" t="s">
        <v>44</v>
      </c>
      <c r="E120" t="str">
        <f t="shared" si="2"/>
        <v>East</v>
      </c>
      <c r="F120" t="s">
        <v>99</v>
      </c>
      <c r="G120" t="s">
        <v>33</v>
      </c>
      <c r="H120" t="s">
        <v>46</v>
      </c>
      <c r="I120">
        <v>88.58</v>
      </c>
      <c r="J120">
        <v>583.11</v>
      </c>
      <c r="K120">
        <v>6582.83</v>
      </c>
      <c r="L120" t="str">
        <f t="shared" si="3"/>
        <v>High</v>
      </c>
      <c r="M120" t="s">
        <v>28</v>
      </c>
      <c r="N120" t="s">
        <v>49</v>
      </c>
      <c r="O120">
        <v>63.31</v>
      </c>
      <c r="P120">
        <v>702.01</v>
      </c>
      <c r="Q120" t="s">
        <v>42</v>
      </c>
      <c r="R120">
        <v>25.79</v>
      </c>
    </row>
    <row r="121" spans="1:18" x14ac:dyDescent="0.25">
      <c r="A121" t="s">
        <v>185</v>
      </c>
      <c r="B121" s="1">
        <v>42191</v>
      </c>
      <c r="C121">
        <v>2015</v>
      </c>
      <c r="D121" t="s">
        <v>103</v>
      </c>
      <c r="E121" t="str">
        <f t="shared" si="2"/>
        <v>North</v>
      </c>
      <c r="F121" t="s">
        <v>104</v>
      </c>
      <c r="G121" t="s">
        <v>33</v>
      </c>
      <c r="H121" t="s">
        <v>39</v>
      </c>
      <c r="I121">
        <v>65.349999999999994</v>
      </c>
      <c r="J121">
        <v>375.65</v>
      </c>
      <c r="K121">
        <v>5748.28</v>
      </c>
      <c r="L121" t="str">
        <f t="shared" si="3"/>
        <v>High</v>
      </c>
      <c r="M121" t="s">
        <v>40</v>
      </c>
      <c r="N121" t="s">
        <v>29</v>
      </c>
      <c r="O121">
        <v>59.58</v>
      </c>
      <c r="P121">
        <v>1117.4000000000001</v>
      </c>
      <c r="Q121" t="s">
        <v>52</v>
      </c>
      <c r="R121">
        <v>30.44</v>
      </c>
    </row>
    <row r="122" spans="1:18" x14ac:dyDescent="0.25">
      <c r="A122" t="s">
        <v>186</v>
      </c>
      <c r="B122" s="1">
        <v>40391</v>
      </c>
      <c r="C122">
        <v>2010</v>
      </c>
      <c r="D122" t="s">
        <v>36</v>
      </c>
      <c r="E122" t="str">
        <f t="shared" si="2"/>
        <v>South</v>
      </c>
      <c r="F122" t="s">
        <v>77</v>
      </c>
      <c r="G122" t="s">
        <v>33</v>
      </c>
      <c r="H122" t="s">
        <v>64</v>
      </c>
      <c r="I122">
        <v>26.34</v>
      </c>
      <c r="J122">
        <v>158.30000000000001</v>
      </c>
      <c r="K122">
        <v>6009.78</v>
      </c>
      <c r="L122" t="str">
        <f t="shared" si="3"/>
        <v>High</v>
      </c>
      <c r="M122" t="s">
        <v>28</v>
      </c>
      <c r="N122" t="s">
        <v>29</v>
      </c>
      <c r="O122">
        <v>77.8</v>
      </c>
      <c r="P122">
        <v>488.1</v>
      </c>
      <c r="Q122" t="s">
        <v>70</v>
      </c>
      <c r="R122">
        <v>21.83</v>
      </c>
    </row>
    <row r="123" spans="1:18" x14ac:dyDescent="0.25">
      <c r="A123" t="s">
        <v>187</v>
      </c>
      <c r="B123" s="1">
        <v>42887</v>
      </c>
      <c r="C123">
        <v>2017</v>
      </c>
      <c r="D123" t="s">
        <v>17</v>
      </c>
      <c r="E123" t="str">
        <f t="shared" si="2"/>
        <v>North</v>
      </c>
      <c r="F123" t="s">
        <v>54</v>
      </c>
      <c r="G123" t="s">
        <v>33</v>
      </c>
      <c r="H123" t="s">
        <v>64</v>
      </c>
      <c r="I123">
        <v>83.83</v>
      </c>
      <c r="J123">
        <v>335.23</v>
      </c>
      <c r="K123">
        <v>3998.98</v>
      </c>
      <c r="L123" t="str">
        <f t="shared" si="3"/>
        <v>Medium</v>
      </c>
      <c r="M123" t="s">
        <v>21</v>
      </c>
      <c r="N123" t="s">
        <v>47</v>
      </c>
      <c r="O123">
        <v>207.99</v>
      </c>
      <c r="P123">
        <v>775.05</v>
      </c>
      <c r="Q123" t="s">
        <v>42</v>
      </c>
      <c r="R123">
        <v>24.37</v>
      </c>
    </row>
    <row r="124" spans="1:18" x14ac:dyDescent="0.25">
      <c r="A124" t="s">
        <v>188</v>
      </c>
      <c r="B124" s="1">
        <v>43899</v>
      </c>
      <c r="C124">
        <v>2019</v>
      </c>
      <c r="D124" t="s">
        <v>31</v>
      </c>
      <c r="E124" t="str">
        <f t="shared" si="2"/>
        <v>West</v>
      </c>
      <c r="F124" t="s">
        <v>82</v>
      </c>
      <c r="G124" t="s">
        <v>38</v>
      </c>
      <c r="H124" t="s">
        <v>56</v>
      </c>
      <c r="I124">
        <v>66.77</v>
      </c>
      <c r="J124">
        <v>101.07</v>
      </c>
      <c r="K124">
        <v>1513.68</v>
      </c>
      <c r="L124" t="str">
        <f t="shared" si="3"/>
        <v>Low</v>
      </c>
      <c r="M124" t="s">
        <v>34</v>
      </c>
      <c r="N124" t="s">
        <v>47</v>
      </c>
      <c r="O124">
        <v>66.92</v>
      </c>
      <c r="P124">
        <v>726.06</v>
      </c>
      <c r="Q124" t="s">
        <v>61</v>
      </c>
      <c r="R124">
        <v>31.8</v>
      </c>
    </row>
    <row r="125" spans="1:18" x14ac:dyDescent="0.25">
      <c r="A125" t="s">
        <v>189</v>
      </c>
      <c r="B125" s="1">
        <v>42913</v>
      </c>
      <c r="C125">
        <v>2017</v>
      </c>
      <c r="D125" t="s">
        <v>25</v>
      </c>
      <c r="E125" t="str">
        <f t="shared" si="2"/>
        <v>North</v>
      </c>
      <c r="F125" t="s">
        <v>87</v>
      </c>
      <c r="G125" t="s">
        <v>33</v>
      </c>
      <c r="H125" t="s">
        <v>39</v>
      </c>
      <c r="I125">
        <v>39.299999999999997</v>
      </c>
      <c r="J125">
        <v>127.32</v>
      </c>
      <c r="K125">
        <v>3239.81</v>
      </c>
      <c r="L125" t="str">
        <f t="shared" si="3"/>
        <v>Medium</v>
      </c>
      <c r="M125" t="s">
        <v>21</v>
      </c>
      <c r="N125" t="s">
        <v>47</v>
      </c>
      <c r="O125">
        <v>139.27000000000001</v>
      </c>
      <c r="P125">
        <v>267.56</v>
      </c>
      <c r="Q125" t="s">
        <v>42</v>
      </c>
      <c r="R125">
        <v>30.99</v>
      </c>
    </row>
    <row r="126" spans="1:18" x14ac:dyDescent="0.25">
      <c r="A126" t="s">
        <v>190</v>
      </c>
      <c r="B126" s="1">
        <v>41095</v>
      </c>
      <c r="C126">
        <v>2012</v>
      </c>
      <c r="D126" t="s">
        <v>17</v>
      </c>
      <c r="E126" t="str">
        <f t="shared" si="2"/>
        <v>North</v>
      </c>
      <c r="F126" t="s">
        <v>72</v>
      </c>
      <c r="G126" t="s">
        <v>33</v>
      </c>
      <c r="H126" t="s">
        <v>20</v>
      </c>
      <c r="I126">
        <v>55.06</v>
      </c>
      <c r="J126">
        <v>323.81</v>
      </c>
      <c r="K126">
        <v>5881.05</v>
      </c>
      <c r="L126" t="str">
        <f t="shared" si="3"/>
        <v>High</v>
      </c>
      <c r="M126" t="s">
        <v>40</v>
      </c>
      <c r="N126" t="s">
        <v>22</v>
      </c>
      <c r="O126">
        <v>257.60000000000002</v>
      </c>
      <c r="P126">
        <v>884.68</v>
      </c>
      <c r="Q126" t="s">
        <v>52</v>
      </c>
      <c r="R126">
        <v>29.48</v>
      </c>
    </row>
    <row r="127" spans="1:18" x14ac:dyDescent="0.25">
      <c r="A127" t="s">
        <v>191</v>
      </c>
      <c r="B127" s="1">
        <v>40622</v>
      </c>
      <c r="C127">
        <v>2010</v>
      </c>
      <c r="D127" t="s">
        <v>17</v>
      </c>
      <c r="E127" t="str">
        <f t="shared" si="2"/>
        <v>North</v>
      </c>
      <c r="F127" t="s">
        <v>72</v>
      </c>
      <c r="G127" t="s">
        <v>38</v>
      </c>
      <c r="H127" t="s">
        <v>56</v>
      </c>
      <c r="I127">
        <v>5.34</v>
      </c>
      <c r="J127">
        <v>11.73</v>
      </c>
      <c r="K127">
        <v>2196.8200000000002</v>
      </c>
      <c r="L127" t="str">
        <f t="shared" si="3"/>
        <v>Low</v>
      </c>
      <c r="M127" t="s">
        <v>21</v>
      </c>
      <c r="N127" t="s">
        <v>29</v>
      </c>
      <c r="O127">
        <v>128.9</v>
      </c>
      <c r="P127">
        <v>510.08</v>
      </c>
      <c r="Q127" t="s">
        <v>52</v>
      </c>
      <c r="R127">
        <v>34.840000000000003</v>
      </c>
    </row>
    <row r="128" spans="1:18" x14ac:dyDescent="0.25">
      <c r="A128" t="s">
        <v>192</v>
      </c>
      <c r="B128" s="1">
        <v>44679</v>
      </c>
      <c r="C128">
        <v>2022</v>
      </c>
      <c r="D128" t="s">
        <v>31</v>
      </c>
      <c r="E128" t="str">
        <f t="shared" si="2"/>
        <v>West</v>
      </c>
      <c r="F128" t="s">
        <v>82</v>
      </c>
      <c r="G128" t="s">
        <v>19</v>
      </c>
      <c r="H128" t="s">
        <v>56</v>
      </c>
      <c r="I128">
        <v>29.32</v>
      </c>
      <c r="J128">
        <v>180.99</v>
      </c>
      <c r="K128">
        <v>6172.83</v>
      </c>
      <c r="L128" t="str">
        <f t="shared" si="3"/>
        <v>High</v>
      </c>
      <c r="M128" t="s">
        <v>21</v>
      </c>
      <c r="N128" t="s">
        <v>29</v>
      </c>
      <c r="O128">
        <v>266.45</v>
      </c>
      <c r="P128">
        <v>531.91999999999996</v>
      </c>
      <c r="Q128" t="s">
        <v>23</v>
      </c>
      <c r="R128">
        <v>31.99</v>
      </c>
    </row>
    <row r="129" spans="1:18" x14ac:dyDescent="0.25">
      <c r="A129" t="s">
        <v>193</v>
      </c>
      <c r="B129" s="1">
        <v>42721</v>
      </c>
      <c r="C129">
        <v>2016</v>
      </c>
      <c r="D129" t="s">
        <v>17</v>
      </c>
      <c r="E129" t="str">
        <f t="shared" si="2"/>
        <v>North</v>
      </c>
      <c r="F129" t="s">
        <v>72</v>
      </c>
      <c r="G129" t="s">
        <v>38</v>
      </c>
      <c r="H129" t="s">
        <v>56</v>
      </c>
      <c r="I129">
        <v>50.12</v>
      </c>
      <c r="J129">
        <v>199.74</v>
      </c>
      <c r="K129">
        <v>3985.14</v>
      </c>
      <c r="L129" t="str">
        <f t="shared" si="3"/>
        <v>Medium</v>
      </c>
      <c r="M129" t="s">
        <v>34</v>
      </c>
      <c r="N129" t="s">
        <v>47</v>
      </c>
      <c r="O129">
        <v>250.29</v>
      </c>
      <c r="P129">
        <v>927.08</v>
      </c>
      <c r="Q129" t="s">
        <v>23</v>
      </c>
      <c r="R129">
        <v>26.46</v>
      </c>
    </row>
    <row r="130" spans="1:18" x14ac:dyDescent="0.25">
      <c r="A130" t="s">
        <v>194</v>
      </c>
      <c r="B130" s="1">
        <v>40785</v>
      </c>
      <c r="C130">
        <v>2011</v>
      </c>
      <c r="D130" t="s">
        <v>31</v>
      </c>
      <c r="E130" t="str">
        <f t="shared" si="2"/>
        <v>West</v>
      </c>
      <c r="F130" t="s">
        <v>32</v>
      </c>
      <c r="G130" t="s">
        <v>33</v>
      </c>
      <c r="H130" t="s">
        <v>20</v>
      </c>
      <c r="I130">
        <v>66.430000000000007</v>
      </c>
      <c r="J130">
        <v>188.59</v>
      </c>
      <c r="K130">
        <v>2838.98</v>
      </c>
      <c r="L130" t="str">
        <f t="shared" si="3"/>
        <v>Low</v>
      </c>
      <c r="M130" t="s">
        <v>28</v>
      </c>
      <c r="N130" t="s">
        <v>47</v>
      </c>
      <c r="O130">
        <v>91.66</v>
      </c>
      <c r="P130">
        <v>643.91</v>
      </c>
      <c r="Q130" t="s">
        <v>52</v>
      </c>
      <c r="R130">
        <v>20.64</v>
      </c>
    </row>
    <row r="131" spans="1:18" x14ac:dyDescent="0.25">
      <c r="A131" t="s">
        <v>195</v>
      </c>
      <c r="B131" s="1">
        <v>44095</v>
      </c>
      <c r="C131">
        <v>2020</v>
      </c>
      <c r="D131" t="s">
        <v>36</v>
      </c>
      <c r="E131" t="str">
        <f t="shared" ref="E131:E194" si="4">INDEX($U$2:$U$8,MATCH(D131,$T$2:$T$8,0))</f>
        <v>South</v>
      </c>
      <c r="F131" t="s">
        <v>51</v>
      </c>
      <c r="G131" t="s">
        <v>33</v>
      </c>
      <c r="H131" t="s">
        <v>64</v>
      </c>
      <c r="I131">
        <v>67.45</v>
      </c>
      <c r="J131">
        <v>231.84</v>
      </c>
      <c r="K131">
        <v>3437.26</v>
      </c>
      <c r="L131" t="str">
        <f t="shared" ref="L131:L194" si="5">IF(K131&gt;=5000,"High",IF(K131&gt;=3000,"Medium","Low"))</f>
        <v>Medium</v>
      </c>
      <c r="M131" t="s">
        <v>40</v>
      </c>
      <c r="N131" t="s">
        <v>22</v>
      </c>
      <c r="O131">
        <v>288.2</v>
      </c>
      <c r="P131">
        <v>342.78</v>
      </c>
      <c r="Q131" t="s">
        <v>61</v>
      </c>
      <c r="R131">
        <v>30.17</v>
      </c>
    </row>
    <row r="132" spans="1:18" x14ac:dyDescent="0.25">
      <c r="A132" t="s">
        <v>196</v>
      </c>
      <c r="B132" s="1">
        <v>41413</v>
      </c>
      <c r="C132">
        <v>2013</v>
      </c>
      <c r="D132" t="s">
        <v>103</v>
      </c>
      <c r="E132" t="str">
        <f t="shared" si="4"/>
        <v>North</v>
      </c>
      <c r="F132" t="s">
        <v>104</v>
      </c>
      <c r="G132" t="s">
        <v>19</v>
      </c>
      <c r="H132" t="s">
        <v>20</v>
      </c>
      <c r="I132">
        <v>36.85</v>
      </c>
      <c r="J132">
        <v>246.78</v>
      </c>
      <c r="K132">
        <v>6696.8</v>
      </c>
      <c r="L132" t="str">
        <f t="shared" si="5"/>
        <v>High</v>
      </c>
      <c r="M132" t="s">
        <v>21</v>
      </c>
      <c r="N132" t="s">
        <v>22</v>
      </c>
      <c r="O132">
        <v>201.27</v>
      </c>
      <c r="P132">
        <v>879.06</v>
      </c>
      <c r="Q132" t="s">
        <v>70</v>
      </c>
      <c r="R132">
        <v>25.58</v>
      </c>
    </row>
    <row r="133" spans="1:18" x14ac:dyDescent="0.25">
      <c r="A133" t="s">
        <v>197</v>
      </c>
      <c r="B133" s="1">
        <v>43548</v>
      </c>
      <c r="C133">
        <v>2018</v>
      </c>
      <c r="D133" t="s">
        <v>59</v>
      </c>
      <c r="E133" t="str">
        <f t="shared" si="4"/>
        <v>East</v>
      </c>
      <c r="F133" t="s">
        <v>60</v>
      </c>
      <c r="G133" t="s">
        <v>38</v>
      </c>
      <c r="H133" t="s">
        <v>46</v>
      </c>
      <c r="I133">
        <v>32.119999999999997</v>
      </c>
      <c r="J133">
        <v>85.83</v>
      </c>
      <c r="K133">
        <v>2672.14</v>
      </c>
      <c r="L133" t="str">
        <f t="shared" si="5"/>
        <v>Low</v>
      </c>
      <c r="M133" t="s">
        <v>21</v>
      </c>
      <c r="N133" t="s">
        <v>22</v>
      </c>
      <c r="O133">
        <v>56.48</v>
      </c>
      <c r="P133">
        <v>386.05</v>
      </c>
      <c r="Q133" t="s">
        <v>61</v>
      </c>
      <c r="R133">
        <v>25.8</v>
      </c>
    </row>
    <row r="134" spans="1:18" x14ac:dyDescent="0.25">
      <c r="A134" t="s">
        <v>198</v>
      </c>
      <c r="B134" s="1">
        <v>44614</v>
      </c>
      <c r="C134">
        <v>2021</v>
      </c>
      <c r="D134" t="s">
        <v>31</v>
      </c>
      <c r="E134" t="str">
        <f t="shared" si="4"/>
        <v>West</v>
      </c>
      <c r="F134" t="s">
        <v>32</v>
      </c>
      <c r="G134" t="s">
        <v>38</v>
      </c>
      <c r="H134" t="s">
        <v>56</v>
      </c>
      <c r="I134">
        <v>99.64</v>
      </c>
      <c r="J134">
        <v>270.37</v>
      </c>
      <c r="K134">
        <v>2713.46</v>
      </c>
      <c r="L134" t="str">
        <f t="shared" si="5"/>
        <v>Low</v>
      </c>
      <c r="M134" t="s">
        <v>28</v>
      </c>
      <c r="N134" t="s">
        <v>22</v>
      </c>
      <c r="O134">
        <v>100.04</v>
      </c>
      <c r="P134">
        <v>335.73</v>
      </c>
      <c r="Q134" t="s">
        <v>23</v>
      </c>
      <c r="R134">
        <v>26.78</v>
      </c>
    </row>
    <row r="135" spans="1:18" x14ac:dyDescent="0.25">
      <c r="A135" t="s">
        <v>199</v>
      </c>
      <c r="B135" s="1">
        <v>42127</v>
      </c>
      <c r="C135">
        <v>2015</v>
      </c>
      <c r="D135" t="s">
        <v>44</v>
      </c>
      <c r="E135" t="str">
        <f t="shared" si="4"/>
        <v>East</v>
      </c>
      <c r="F135" t="s">
        <v>67</v>
      </c>
      <c r="G135" t="s">
        <v>19</v>
      </c>
      <c r="H135" t="s">
        <v>20</v>
      </c>
      <c r="I135">
        <v>71.239999999999995</v>
      </c>
      <c r="J135">
        <v>306.33</v>
      </c>
      <c r="K135">
        <v>4299.9799999999996</v>
      </c>
      <c r="L135" t="str">
        <f t="shared" si="5"/>
        <v>Medium</v>
      </c>
      <c r="M135" t="s">
        <v>34</v>
      </c>
      <c r="N135" t="s">
        <v>41</v>
      </c>
      <c r="O135">
        <v>272.83</v>
      </c>
      <c r="P135">
        <v>1051.3599999999999</v>
      </c>
      <c r="Q135" t="s">
        <v>42</v>
      </c>
      <c r="R135">
        <v>31.91</v>
      </c>
    </row>
    <row r="136" spans="1:18" x14ac:dyDescent="0.25">
      <c r="A136" t="s">
        <v>200</v>
      </c>
      <c r="B136" s="1">
        <v>44735</v>
      </c>
      <c r="C136">
        <v>2022</v>
      </c>
      <c r="D136" t="s">
        <v>25</v>
      </c>
      <c r="E136" t="str">
        <f t="shared" si="4"/>
        <v>North</v>
      </c>
      <c r="F136" t="s">
        <v>26</v>
      </c>
      <c r="G136" t="s">
        <v>33</v>
      </c>
      <c r="H136" t="s">
        <v>56</v>
      </c>
      <c r="I136">
        <v>79.25</v>
      </c>
      <c r="J136">
        <v>91.75</v>
      </c>
      <c r="K136">
        <v>1157.7</v>
      </c>
      <c r="L136" t="str">
        <f t="shared" si="5"/>
        <v>Low</v>
      </c>
      <c r="M136" t="s">
        <v>34</v>
      </c>
      <c r="N136" t="s">
        <v>22</v>
      </c>
      <c r="O136">
        <v>166.85</v>
      </c>
      <c r="P136">
        <v>1183.01</v>
      </c>
      <c r="Q136" t="s">
        <v>42</v>
      </c>
      <c r="R136">
        <v>29.18</v>
      </c>
    </row>
    <row r="137" spans="1:18" x14ac:dyDescent="0.25">
      <c r="A137" t="s">
        <v>201</v>
      </c>
      <c r="B137" s="1">
        <v>44330</v>
      </c>
      <c r="C137">
        <v>2021</v>
      </c>
      <c r="D137" t="s">
        <v>31</v>
      </c>
      <c r="E137" t="str">
        <f t="shared" si="4"/>
        <v>West</v>
      </c>
      <c r="F137" t="s">
        <v>32</v>
      </c>
      <c r="G137" t="s">
        <v>19</v>
      </c>
      <c r="H137" t="s">
        <v>46</v>
      </c>
      <c r="I137">
        <v>53.04</v>
      </c>
      <c r="J137">
        <v>297.82</v>
      </c>
      <c r="K137">
        <v>5614.99</v>
      </c>
      <c r="L137" t="str">
        <f t="shared" si="5"/>
        <v>High</v>
      </c>
      <c r="M137" t="s">
        <v>21</v>
      </c>
      <c r="N137" t="s">
        <v>47</v>
      </c>
      <c r="O137">
        <v>81.33</v>
      </c>
      <c r="P137">
        <v>517.03</v>
      </c>
      <c r="Q137" t="s">
        <v>23</v>
      </c>
      <c r="R137">
        <v>26.75</v>
      </c>
    </row>
    <row r="138" spans="1:18" x14ac:dyDescent="0.25">
      <c r="A138" t="s">
        <v>202</v>
      </c>
      <c r="B138" s="1">
        <v>44685</v>
      </c>
      <c r="C138">
        <v>2022</v>
      </c>
      <c r="D138" t="s">
        <v>31</v>
      </c>
      <c r="E138" t="str">
        <f t="shared" si="4"/>
        <v>West</v>
      </c>
      <c r="F138" t="s">
        <v>82</v>
      </c>
      <c r="G138" t="s">
        <v>19</v>
      </c>
      <c r="H138" t="s">
        <v>39</v>
      </c>
      <c r="I138">
        <v>59.19</v>
      </c>
      <c r="J138">
        <v>331.86</v>
      </c>
      <c r="K138">
        <v>5606.69</v>
      </c>
      <c r="L138" t="str">
        <f t="shared" si="5"/>
        <v>High</v>
      </c>
      <c r="M138" t="s">
        <v>40</v>
      </c>
      <c r="N138" t="s">
        <v>41</v>
      </c>
      <c r="O138">
        <v>158.15</v>
      </c>
      <c r="P138">
        <v>1110.71</v>
      </c>
      <c r="Q138" t="s">
        <v>23</v>
      </c>
      <c r="R138">
        <v>32.47</v>
      </c>
    </row>
    <row r="139" spans="1:18" x14ac:dyDescent="0.25">
      <c r="A139" t="s">
        <v>203</v>
      </c>
      <c r="B139" s="1">
        <v>41291</v>
      </c>
      <c r="C139">
        <v>2012</v>
      </c>
      <c r="D139" t="s">
        <v>31</v>
      </c>
      <c r="E139" t="str">
        <f t="shared" si="4"/>
        <v>West</v>
      </c>
      <c r="F139" t="s">
        <v>82</v>
      </c>
      <c r="G139" t="s">
        <v>38</v>
      </c>
      <c r="H139" t="s">
        <v>39</v>
      </c>
      <c r="I139">
        <v>23.32</v>
      </c>
      <c r="J139">
        <v>155.88999999999999</v>
      </c>
      <c r="K139">
        <v>6684.9</v>
      </c>
      <c r="L139" t="str">
        <f t="shared" si="5"/>
        <v>High</v>
      </c>
      <c r="M139" t="s">
        <v>34</v>
      </c>
      <c r="N139" t="s">
        <v>47</v>
      </c>
      <c r="O139">
        <v>261.48</v>
      </c>
      <c r="P139">
        <v>450.61</v>
      </c>
      <c r="Q139" t="s">
        <v>61</v>
      </c>
      <c r="R139">
        <v>24.12</v>
      </c>
    </row>
    <row r="140" spans="1:18" x14ac:dyDescent="0.25">
      <c r="A140" t="s">
        <v>204</v>
      </c>
      <c r="B140" s="1">
        <v>43250</v>
      </c>
      <c r="C140">
        <v>2018</v>
      </c>
      <c r="D140" t="s">
        <v>59</v>
      </c>
      <c r="E140" t="str">
        <f t="shared" si="4"/>
        <v>East</v>
      </c>
      <c r="F140" t="s">
        <v>60</v>
      </c>
      <c r="G140" t="s">
        <v>19</v>
      </c>
      <c r="H140" t="s">
        <v>56</v>
      </c>
      <c r="I140">
        <v>59.59</v>
      </c>
      <c r="J140">
        <v>267.19</v>
      </c>
      <c r="K140">
        <v>4483.88</v>
      </c>
      <c r="L140" t="str">
        <f t="shared" si="5"/>
        <v>Medium</v>
      </c>
      <c r="M140" t="s">
        <v>40</v>
      </c>
      <c r="N140" t="s">
        <v>47</v>
      </c>
      <c r="O140">
        <v>214.68</v>
      </c>
      <c r="P140">
        <v>920.63</v>
      </c>
      <c r="Q140" t="s">
        <v>61</v>
      </c>
      <c r="R140">
        <v>25.06</v>
      </c>
    </row>
    <row r="141" spans="1:18" x14ac:dyDescent="0.25">
      <c r="A141" t="s">
        <v>205</v>
      </c>
      <c r="B141" s="1">
        <v>40834</v>
      </c>
      <c r="C141">
        <v>2011</v>
      </c>
      <c r="D141" t="s">
        <v>25</v>
      </c>
      <c r="E141" t="str">
        <f t="shared" si="4"/>
        <v>North</v>
      </c>
      <c r="F141" t="s">
        <v>26</v>
      </c>
      <c r="G141" t="s">
        <v>33</v>
      </c>
      <c r="H141" t="s">
        <v>39</v>
      </c>
      <c r="I141">
        <v>77.33</v>
      </c>
      <c r="J141">
        <v>200.13</v>
      </c>
      <c r="K141">
        <v>2587.94</v>
      </c>
      <c r="L141" t="str">
        <f t="shared" si="5"/>
        <v>Low</v>
      </c>
      <c r="M141" t="s">
        <v>40</v>
      </c>
      <c r="N141" t="s">
        <v>49</v>
      </c>
      <c r="O141">
        <v>241.74</v>
      </c>
      <c r="P141">
        <v>616.59</v>
      </c>
      <c r="Q141" t="s">
        <v>23</v>
      </c>
      <c r="R141">
        <v>27.47</v>
      </c>
    </row>
    <row r="142" spans="1:18" x14ac:dyDescent="0.25">
      <c r="A142" t="s">
        <v>206</v>
      </c>
      <c r="B142" s="1">
        <v>42923</v>
      </c>
      <c r="C142">
        <v>2017</v>
      </c>
      <c r="D142" t="s">
        <v>17</v>
      </c>
      <c r="E142" t="str">
        <f t="shared" si="4"/>
        <v>North</v>
      </c>
      <c r="F142" t="s">
        <v>72</v>
      </c>
      <c r="G142" t="s">
        <v>33</v>
      </c>
      <c r="H142" t="s">
        <v>39</v>
      </c>
      <c r="I142">
        <v>41.2</v>
      </c>
      <c r="J142">
        <v>153.32</v>
      </c>
      <c r="K142">
        <v>3721.26</v>
      </c>
      <c r="L142" t="str">
        <f t="shared" si="5"/>
        <v>Medium</v>
      </c>
      <c r="M142" t="s">
        <v>21</v>
      </c>
      <c r="N142" t="s">
        <v>49</v>
      </c>
      <c r="O142">
        <v>89.52</v>
      </c>
      <c r="P142">
        <v>615.62</v>
      </c>
      <c r="Q142" t="s">
        <v>52</v>
      </c>
      <c r="R142">
        <v>23.06</v>
      </c>
    </row>
    <row r="143" spans="1:18" x14ac:dyDescent="0.25">
      <c r="A143" t="s">
        <v>207</v>
      </c>
      <c r="B143" s="1">
        <v>42112</v>
      </c>
      <c r="C143">
        <v>2015</v>
      </c>
      <c r="D143" t="s">
        <v>44</v>
      </c>
      <c r="E143" t="str">
        <f t="shared" si="4"/>
        <v>East</v>
      </c>
      <c r="F143" t="s">
        <v>67</v>
      </c>
      <c r="G143" t="s">
        <v>19</v>
      </c>
      <c r="H143" t="s">
        <v>20</v>
      </c>
      <c r="I143">
        <v>97.56</v>
      </c>
      <c r="J143">
        <v>174.11</v>
      </c>
      <c r="K143">
        <v>1784.6</v>
      </c>
      <c r="L143" t="str">
        <f t="shared" si="5"/>
        <v>Low</v>
      </c>
      <c r="M143" t="s">
        <v>34</v>
      </c>
      <c r="N143" t="s">
        <v>29</v>
      </c>
      <c r="O143">
        <v>178.75</v>
      </c>
      <c r="P143">
        <v>306.18</v>
      </c>
      <c r="Q143" t="s">
        <v>42</v>
      </c>
      <c r="R143">
        <v>27</v>
      </c>
    </row>
    <row r="144" spans="1:18" x14ac:dyDescent="0.25">
      <c r="A144" t="s">
        <v>208</v>
      </c>
      <c r="B144" s="1">
        <v>40842</v>
      </c>
      <c r="C144">
        <v>2011</v>
      </c>
      <c r="D144" t="s">
        <v>103</v>
      </c>
      <c r="E144" t="str">
        <f t="shared" si="4"/>
        <v>North</v>
      </c>
      <c r="F144" t="s">
        <v>104</v>
      </c>
      <c r="G144" t="s">
        <v>33</v>
      </c>
      <c r="H144" t="s">
        <v>20</v>
      </c>
      <c r="I144">
        <v>94.59</v>
      </c>
      <c r="J144">
        <v>585.04</v>
      </c>
      <c r="K144">
        <v>6184.98</v>
      </c>
      <c r="L144" t="str">
        <f t="shared" si="5"/>
        <v>High</v>
      </c>
      <c r="M144" t="s">
        <v>28</v>
      </c>
      <c r="N144" t="s">
        <v>49</v>
      </c>
      <c r="O144">
        <v>112.07</v>
      </c>
      <c r="P144">
        <v>1065.31</v>
      </c>
      <c r="Q144" t="s">
        <v>42</v>
      </c>
      <c r="R144">
        <v>32.200000000000003</v>
      </c>
    </row>
    <row r="145" spans="1:18" x14ac:dyDescent="0.25">
      <c r="A145" t="s">
        <v>209</v>
      </c>
      <c r="B145" s="1">
        <v>42839</v>
      </c>
      <c r="C145">
        <v>2017</v>
      </c>
      <c r="D145" t="s">
        <v>103</v>
      </c>
      <c r="E145" t="str">
        <f t="shared" si="4"/>
        <v>North</v>
      </c>
      <c r="F145" t="s">
        <v>104</v>
      </c>
      <c r="G145" t="s">
        <v>19</v>
      </c>
      <c r="H145" t="s">
        <v>46</v>
      </c>
      <c r="I145">
        <v>50.38</v>
      </c>
      <c r="J145">
        <v>143.65</v>
      </c>
      <c r="K145">
        <v>2851.24</v>
      </c>
      <c r="L145" t="str">
        <f t="shared" si="5"/>
        <v>Low</v>
      </c>
      <c r="M145" t="s">
        <v>21</v>
      </c>
      <c r="N145" t="s">
        <v>47</v>
      </c>
      <c r="O145">
        <v>72.510000000000005</v>
      </c>
      <c r="P145">
        <v>593.24</v>
      </c>
      <c r="Q145" t="s">
        <v>52</v>
      </c>
      <c r="R145">
        <v>34.5</v>
      </c>
    </row>
    <row r="146" spans="1:18" x14ac:dyDescent="0.25">
      <c r="A146" t="s">
        <v>210</v>
      </c>
      <c r="B146" s="1">
        <v>40550</v>
      </c>
      <c r="C146">
        <v>2010</v>
      </c>
      <c r="D146" t="s">
        <v>31</v>
      </c>
      <c r="E146" t="str">
        <f t="shared" si="4"/>
        <v>West</v>
      </c>
      <c r="F146" t="s">
        <v>82</v>
      </c>
      <c r="G146" t="s">
        <v>38</v>
      </c>
      <c r="H146" t="s">
        <v>46</v>
      </c>
      <c r="I146">
        <v>60.15</v>
      </c>
      <c r="J146">
        <v>364.33</v>
      </c>
      <c r="K146">
        <v>6057.1</v>
      </c>
      <c r="L146" t="str">
        <f t="shared" si="5"/>
        <v>High</v>
      </c>
      <c r="M146" t="s">
        <v>28</v>
      </c>
      <c r="N146" t="s">
        <v>49</v>
      </c>
      <c r="O146">
        <v>121.44</v>
      </c>
      <c r="P146">
        <v>208.18</v>
      </c>
      <c r="Q146" t="s">
        <v>23</v>
      </c>
      <c r="R146">
        <v>26.46</v>
      </c>
    </row>
    <row r="147" spans="1:18" x14ac:dyDescent="0.25">
      <c r="A147" t="s">
        <v>211</v>
      </c>
      <c r="B147" s="1">
        <v>42296</v>
      </c>
      <c r="C147">
        <v>2015</v>
      </c>
      <c r="D147" t="s">
        <v>44</v>
      </c>
      <c r="E147" t="str">
        <f t="shared" si="4"/>
        <v>East</v>
      </c>
      <c r="F147" t="s">
        <v>99</v>
      </c>
      <c r="G147" t="s">
        <v>33</v>
      </c>
      <c r="H147" t="s">
        <v>46</v>
      </c>
      <c r="I147">
        <v>6.06</v>
      </c>
      <c r="J147">
        <v>26.49</v>
      </c>
      <c r="K147">
        <v>4370.8999999999996</v>
      </c>
      <c r="L147" t="str">
        <f t="shared" si="5"/>
        <v>Medium</v>
      </c>
      <c r="M147" t="s">
        <v>34</v>
      </c>
      <c r="N147" t="s">
        <v>49</v>
      </c>
      <c r="O147">
        <v>188.31</v>
      </c>
      <c r="P147">
        <v>273.52999999999997</v>
      </c>
      <c r="Q147" t="s">
        <v>61</v>
      </c>
      <c r="R147">
        <v>26.76</v>
      </c>
    </row>
    <row r="148" spans="1:18" x14ac:dyDescent="0.25">
      <c r="A148" t="s">
        <v>212</v>
      </c>
      <c r="B148" s="1">
        <v>43934</v>
      </c>
      <c r="C148">
        <v>2020</v>
      </c>
      <c r="D148" t="s">
        <v>44</v>
      </c>
      <c r="E148" t="str">
        <f t="shared" si="4"/>
        <v>East</v>
      </c>
      <c r="F148" t="s">
        <v>67</v>
      </c>
      <c r="G148" t="s">
        <v>19</v>
      </c>
      <c r="H148" t="s">
        <v>64</v>
      </c>
      <c r="I148">
        <v>13.74</v>
      </c>
      <c r="J148">
        <v>21.71</v>
      </c>
      <c r="K148">
        <v>1580.09</v>
      </c>
      <c r="L148" t="str">
        <f t="shared" si="5"/>
        <v>Low</v>
      </c>
      <c r="M148" t="s">
        <v>34</v>
      </c>
      <c r="N148" t="s">
        <v>47</v>
      </c>
      <c r="O148">
        <v>248.72</v>
      </c>
      <c r="P148">
        <v>539.09</v>
      </c>
      <c r="Q148" t="s">
        <v>70</v>
      </c>
      <c r="R148">
        <v>31.32</v>
      </c>
    </row>
    <row r="149" spans="1:18" x14ac:dyDescent="0.25">
      <c r="A149" t="s">
        <v>213</v>
      </c>
      <c r="B149" s="1">
        <v>43333</v>
      </c>
      <c r="C149">
        <v>2018</v>
      </c>
      <c r="D149" t="s">
        <v>59</v>
      </c>
      <c r="E149" t="str">
        <f t="shared" si="4"/>
        <v>East</v>
      </c>
      <c r="F149" t="s">
        <v>63</v>
      </c>
      <c r="G149" t="s">
        <v>33</v>
      </c>
      <c r="H149" t="s">
        <v>64</v>
      </c>
      <c r="I149">
        <v>4.8499999999999996</v>
      </c>
      <c r="J149">
        <v>25.62</v>
      </c>
      <c r="K149">
        <v>5281.55</v>
      </c>
      <c r="L149" t="str">
        <f t="shared" si="5"/>
        <v>High</v>
      </c>
      <c r="M149" t="s">
        <v>28</v>
      </c>
      <c r="N149" t="s">
        <v>41</v>
      </c>
      <c r="O149">
        <v>179.83</v>
      </c>
      <c r="P149">
        <v>348.94</v>
      </c>
      <c r="Q149" t="s">
        <v>61</v>
      </c>
      <c r="R149">
        <v>22.1</v>
      </c>
    </row>
    <row r="150" spans="1:18" x14ac:dyDescent="0.25">
      <c r="A150" t="s">
        <v>214</v>
      </c>
      <c r="B150" s="1">
        <v>44529</v>
      </c>
      <c r="C150">
        <v>2021</v>
      </c>
      <c r="D150" t="s">
        <v>36</v>
      </c>
      <c r="E150" t="str">
        <f t="shared" si="4"/>
        <v>South</v>
      </c>
      <c r="F150" t="s">
        <v>77</v>
      </c>
      <c r="G150" t="s">
        <v>38</v>
      </c>
      <c r="H150" t="s">
        <v>27</v>
      </c>
      <c r="I150">
        <v>34.299999999999997</v>
      </c>
      <c r="J150">
        <v>204.76</v>
      </c>
      <c r="K150">
        <v>5969.74</v>
      </c>
      <c r="L150" t="str">
        <f t="shared" si="5"/>
        <v>High</v>
      </c>
      <c r="M150" t="s">
        <v>28</v>
      </c>
      <c r="N150" t="s">
        <v>29</v>
      </c>
      <c r="O150">
        <v>227.18</v>
      </c>
      <c r="P150">
        <v>499.79</v>
      </c>
      <c r="Q150" t="s">
        <v>23</v>
      </c>
      <c r="R150">
        <v>25.53</v>
      </c>
    </row>
    <row r="151" spans="1:18" x14ac:dyDescent="0.25">
      <c r="A151" t="s">
        <v>215</v>
      </c>
      <c r="B151" s="1">
        <v>44698</v>
      </c>
      <c r="C151">
        <v>2022</v>
      </c>
      <c r="D151" t="s">
        <v>59</v>
      </c>
      <c r="E151" t="str">
        <f t="shared" si="4"/>
        <v>East</v>
      </c>
      <c r="F151" t="s">
        <v>63</v>
      </c>
      <c r="G151" t="s">
        <v>19</v>
      </c>
      <c r="H151" t="s">
        <v>39</v>
      </c>
      <c r="I151">
        <v>63.3</v>
      </c>
      <c r="J151">
        <v>290.01</v>
      </c>
      <c r="K151">
        <v>4581.46</v>
      </c>
      <c r="L151" t="str">
        <f t="shared" si="5"/>
        <v>Medium</v>
      </c>
      <c r="M151" t="s">
        <v>34</v>
      </c>
      <c r="N151" t="s">
        <v>22</v>
      </c>
      <c r="O151">
        <v>291.77</v>
      </c>
      <c r="P151">
        <v>982.9</v>
      </c>
      <c r="Q151" t="s">
        <v>61</v>
      </c>
      <c r="R151">
        <v>28.66</v>
      </c>
    </row>
    <row r="152" spans="1:18" x14ac:dyDescent="0.25">
      <c r="A152" t="s">
        <v>216</v>
      </c>
      <c r="B152" s="1">
        <v>41044</v>
      </c>
      <c r="C152">
        <v>2012</v>
      </c>
      <c r="D152" t="s">
        <v>59</v>
      </c>
      <c r="E152" t="str">
        <f t="shared" si="4"/>
        <v>East</v>
      </c>
      <c r="F152" t="s">
        <v>63</v>
      </c>
      <c r="G152" t="s">
        <v>19</v>
      </c>
      <c r="H152" t="s">
        <v>39</v>
      </c>
      <c r="I152">
        <v>72.400000000000006</v>
      </c>
      <c r="J152">
        <v>408.89</v>
      </c>
      <c r="K152">
        <v>5647.64</v>
      </c>
      <c r="L152" t="str">
        <f t="shared" si="5"/>
        <v>High</v>
      </c>
      <c r="M152" t="s">
        <v>28</v>
      </c>
      <c r="N152" t="s">
        <v>22</v>
      </c>
      <c r="O152">
        <v>86.94</v>
      </c>
      <c r="P152">
        <v>880.73</v>
      </c>
      <c r="Q152" t="s">
        <v>23</v>
      </c>
      <c r="R152">
        <v>28.59</v>
      </c>
    </row>
    <row r="153" spans="1:18" x14ac:dyDescent="0.25">
      <c r="A153" t="s">
        <v>217</v>
      </c>
      <c r="B153" s="1">
        <v>43055</v>
      </c>
      <c r="C153">
        <v>2017</v>
      </c>
      <c r="D153" t="s">
        <v>103</v>
      </c>
      <c r="E153" t="str">
        <f t="shared" si="4"/>
        <v>North</v>
      </c>
      <c r="F153" t="s">
        <v>104</v>
      </c>
      <c r="G153" t="s">
        <v>38</v>
      </c>
      <c r="H153" t="s">
        <v>46</v>
      </c>
      <c r="I153">
        <v>15.99</v>
      </c>
      <c r="J153">
        <v>82.24</v>
      </c>
      <c r="K153">
        <v>5143</v>
      </c>
      <c r="L153" t="str">
        <f t="shared" si="5"/>
        <v>High</v>
      </c>
      <c r="M153" t="s">
        <v>28</v>
      </c>
      <c r="N153" t="s">
        <v>41</v>
      </c>
      <c r="O153">
        <v>175.45</v>
      </c>
      <c r="P153">
        <v>811.48</v>
      </c>
      <c r="Q153" t="s">
        <v>52</v>
      </c>
      <c r="R153">
        <v>33.090000000000003</v>
      </c>
    </row>
    <row r="154" spans="1:18" x14ac:dyDescent="0.25">
      <c r="A154" t="s">
        <v>218</v>
      </c>
      <c r="B154" s="1">
        <v>43472</v>
      </c>
      <c r="C154">
        <v>2018</v>
      </c>
      <c r="D154" t="s">
        <v>59</v>
      </c>
      <c r="E154" t="str">
        <f t="shared" si="4"/>
        <v>East</v>
      </c>
      <c r="F154" t="s">
        <v>60</v>
      </c>
      <c r="G154" t="s">
        <v>38</v>
      </c>
      <c r="H154" t="s">
        <v>39</v>
      </c>
      <c r="I154">
        <v>48.36</v>
      </c>
      <c r="J154">
        <v>157.69999999999999</v>
      </c>
      <c r="K154">
        <v>3260.95</v>
      </c>
      <c r="L154" t="str">
        <f t="shared" si="5"/>
        <v>Medium</v>
      </c>
      <c r="M154" t="s">
        <v>40</v>
      </c>
      <c r="N154" t="s">
        <v>47</v>
      </c>
      <c r="O154">
        <v>164.92</v>
      </c>
      <c r="P154">
        <v>733.13</v>
      </c>
      <c r="Q154" t="s">
        <v>61</v>
      </c>
      <c r="R154">
        <v>25.31</v>
      </c>
    </row>
    <row r="155" spans="1:18" x14ac:dyDescent="0.25">
      <c r="A155" t="s">
        <v>219</v>
      </c>
      <c r="B155" s="1">
        <v>41668</v>
      </c>
      <c r="C155">
        <v>2013</v>
      </c>
      <c r="D155" t="s">
        <v>36</v>
      </c>
      <c r="E155" t="str">
        <f t="shared" si="4"/>
        <v>South</v>
      </c>
      <c r="F155" t="s">
        <v>37</v>
      </c>
      <c r="G155" t="s">
        <v>38</v>
      </c>
      <c r="H155" t="s">
        <v>27</v>
      </c>
      <c r="I155">
        <v>30.55</v>
      </c>
      <c r="J155">
        <v>203.12</v>
      </c>
      <c r="K155">
        <v>6648.91</v>
      </c>
      <c r="L155" t="str">
        <f t="shared" si="5"/>
        <v>High</v>
      </c>
      <c r="M155" t="s">
        <v>34</v>
      </c>
      <c r="N155" t="s">
        <v>47</v>
      </c>
      <c r="O155">
        <v>242.79</v>
      </c>
      <c r="P155">
        <v>904.9</v>
      </c>
      <c r="Q155" t="s">
        <v>52</v>
      </c>
      <c r="R155">
        <v>24.76</v>
      </c>
    </row>
    <row r="156" spans="1:18" x14ac:dyDescent="0.25">
      <c r="A156" t="s">
        <v>220</v>
      </c>
      <c r="B156" s="1">
        <v>42017</v>
      </c>
      <c r="C156">
        <v>2014</v>
      </c>
      <c r="D156" t="s">
        <v>44</v>
      </c>
      <c r="E156" t="str">
        <f t="shared" si="4"/>
        <v>East</v>
      </c>
      <c r="F156" t="s">
        <v>67</v>
      </c>
      <c r="G156" t="s">
        <v>38</v>
      </c>
      <c r="H156" t="s">
        <v>64</v>
      </c>
      <c r="I156">
        <v>57.77</v>
      </c>
      <c r="J156">
        <v>246.05</v>
      </c>
      <c r="K156">
        <v>4259.1499999999996</v>
      </c>
      <c r="L156" t="str">
        <f t="shared" si="5"/>
        <v>Medium</v>
      </c>
      <c r="M156" t="s">
        <v>28</v>
      </c>
      <c r="N156" t="s">
        <v>22</v>
      </c>
      <c r="O156">
        <v>254.59</v>
      </c>
      <c r="P156">
        <v>1154.6099999999999</v>
      </c>
      <c r="Q156" t="s">
        <v>42</v>
      </c>
      <c r="R156">
        <v>24.36</v>
      </c>
    </row>
    <row r="157" spans="1:18" x14ac:dyDescent="0.25">
      <c r="A157" t="s">
        <v>221</v>
      </c>
      <c r="B157" s="1">
        <v>44286</v>
      </c>
      <c r="C157">
        <v>2020</v>
      </c>
      <c r="D157" t="s">
        <v>31</v>
      </c>
      <c r="E157" t="str">
        <f t="shared" si="4"/>
        <v>West</v>
      </c>
      <c r="F157" t="s">
        <v>32</v>
      </c>
      <c r="G157" t="s">
        <v>38</v>
      </c>
      <c r="H157" t="s">
        <v>39</v>
      </c>
      <c r="I157">
        <v>48.43</v>
      </c>
      <c r="J157">
        <v>107.15</v>
      </c>
      <c r="K157">
        <v>2212.41</v>
      </c>
      <c r="L157" t="str">
        <f t="shared" si="5"/>
        <v>Low</v>
      </c>
      <c r="M157" t="s">
        <v>34</v>
      </c>
      <c r="N157" t="s">
        <v>41</v>
      </c>
      <c r="O157">
        <v>283.26</v>
      </c>
      <c r="P157">
        <v>896.17</v>
      </c>
      <c r="Q157" t="s">
        <v>42</v>
      </c>
      <c r="R157">
        <v>21.64</v>
      </c>
    </row>
    <row r="158" spans="1:18" x14ac:dyDescent="0.25">
      <c r="A158" t="s">
        <v>222</v>
      </c>
      <c r="B158" s="1">
        <v>43957</v>
      </c>
      <c r="C158">
        <v>2020</v>
      </c>
      <c r="D158" t="s">
        <v>103</v>
      </c>
      <c r="E158" t="str">
        <f t="shared" si="4"/>
        <v>North</v>
      </c>
      <c r="F158" t="s">
        <v>104</v>
      </c>
      <c r="G158" t="s">
        <v>19</v>
      </c>
      <c r="H158" t="s">
        <v>56</v>
      </c>
      <c r="I158">
        <v>64.16</v>
      </c>
      <c r="J158">
        <v>84.37</v>
      </c>
      <c r="K158">
        <v>1314.95</v>
      </c>
      <c r="L158" t="str">
        <f t="shared" si="5"/>
        <v>Low</v>
      </c>
      <c r="M158" t="s">
        <v>28</v>
      </c>
      <c r="N158" t="s">
        <v>41</v>
      </c>
      <c r="O158">
        <v>132.57</v>
      </c>
      <c r="P158">
        <v>672.4</v>
      </c>
      <c r="Q158" t="s">
        <v>42</v>
      </c>
      <c r="R158">
        <v>20.079999999999998</v>
      </c>
    </row>
    <row r="159" spans="1:18" x14ac:dyDescent="0.25">
      <c r="A159" t="s">
        <v>223</v>
      </c>
      <c r="B159" s="1">
        <v>43099</v>
      </c>
      <c r="C159">
        <v>2017</v>
      </c>
      <c r="D159" t="s">
        <v>36</v>
      </c>
      <c r="E159" t="str">
        <f t="shared" si="4"/>
        <v>South</v>
      </c>
      <c r="F159" t="s">
        <v>77</v>
      </c>
      <c r="G159" t="s">
        <v>38</v>
      </c>
      <c r="H159" t="s">
        <v>39</v>
      </c>
      <c r="I159">
        <v>20.75</v>
      </c>
      <c r="J159">
        <v>140.76</v>
      </c>
      <c r="K159">
        <v>6783.48</v>
      </c>
      <c r="L159" t="str">
        <f t="shared" si="5"/>
        <v>High</v>
      </c>
      <c r="M159" t="s">
        <v>34</v>
      </c>
      <c r="N159" t="s">
        <v>47</v>
      </c>
      <c r="O159">
        <v>121.35</v>
      </c>
      <c r="P159">
        <v>259.16000000000003</v>
      </c>
      <c r="Q159" t="s">
        <v>23</v>
      </c>
      <c r="R159">
        <v>29.78</v>
      </c>
    </row>
    <row r="160" spans="1:18" x14ac:dyDescent="0.25">
      <c r="A160" t="s">
        <v>224</v>
      </c>
      <c r="B160" s="1">
        <v>40404</v>
      </c>
      <c r="C160">
        <v>2010</v>
      </c>
      <c r="D160" t="s">
        <v>17</v>
      </c>
      <c r="E160" t="str">
        <f t="shared" si="4"/>
        <v>North</v>
      </c>
      <c r="F160" t="s">
        <v>54</v>
      </c>
      <c r="G160" t="s">
        <v>33</v>
      </c>
      <c r="H160" t="s">
        <v>46</v>
      </c>
      <c r="I160">
        <v>88.34</v>
      </c>
      <c r="J160">
        <v>181.51</v>
      </c>
      <c r="K160">
        <v>2054.73</v>
      </c>
      <c r="L160" t="str">
        <f t="shared" si="5"/>
        <v>Low</v>
      </c>
      <c r="M160" t="s">
        <v>21</v>
      </c>
      <c r="N160" t="s">
        <v>22</v>
      </c>
      <c r="O160">
        <v>299.29000000000002</v>
      </c>
      <c r="P160">
        <v>596.99</v>
      </c>
      <c r="Q160" t="s">
        <v>52</v>
      </c>
      <c r="R160">
        <v>22.79</v>
      </c>
    </row>
    <row r="161" spans="1:18" x14ac:dyDescent="0.25">
      <c r="A161" t="s">
        <v>225</v>
      </c>
      <c r="B161" s="1">
        <v>43564</v>
      </c>
      <c r="C161">
        <v>2019</v>
      </c>
      <c r="D161" t="s">
        <v>25</v>
      </c>
      <c r="E161" t="str">
        <f t="shared" si="4"/>
        <v>North</v>
      </c>
      <c r="F161" t="s">
        <v>87</v>
      </c>
      <c r="G161" t="s">
        <v>19</v>
      </c>
      <c r="H161" t="s">
        <v>64</v>
      </c>
      <c r="I161">
        <v>92.92</v>
      </c>
      <c r="J161">
        <v>279.70999999999998</v>
      </c>
      <c r="K161">
        <v>3010.25</v>
      </c>
      <c r="L161" t="str">
        <f t="shared" si="5"/>
        <v>Medium</v>
      </c>
      <c r="M161" t="s">
        <v>28</v>
      </c>
      <c r="N161" t="s">
        <v>47</v>
      </c>
      <c r="O161">
        <v>297.27</v>
      </c>
      <c r="P161">
        <v>743.3</v>
      </c>
      <c r="Q161" t="s">
        <v>52</v>
      </c>
      <c r="R161">
        <v>33.340000000000003</v>
      </c>
    </row>
    <row r="162" spans="1:18" x14ac:dyDescent="0.25">
      <c r="A162" t="s">
        <v>226</v>
      </c>
      <c r="B162" s="1">
        <v>41571</v>
      </c>
      <c r="C162">
        <v>2013</v>
      </c>
      <c r="D162" t="s">
        <v>36</v>
      </c>
      <c r="E162" t="str">
        <f t="shared" si="4"/>
        <v>South</v>
      </c>
      <c r="F162" t="s">
        <v>51</v>
      </c>
      <c r="G162" t="s">
        <v>33</v>
      </c>
      <c r="H162" t="s">
        <v>20</v>
      </c>
      <c r="I162">
        <v>17.09</v>
      </c>
      <c r="J162">
        <v>64.150000000000006</v>
      </c>
      <c r="K162">
        <v>3753.49</v>
      </c>
      <c r="L162" t="str">
        <f t="shared" si="5"/>
        <v>Medium</v>
      </c>
      <c r="M162" t="s">
        <v>34</v>
      </c>
      <c r="N162" t="s">
        <v>41</v>
      </c>
      <c r="O162">
        <v>229.65</v>
      </c>
      <c r="P162">
        <v>214.08</v>
      </c>
      <c r="Q162" t="s">
        <v>70</v>
      </c>
      <c r="R162">
        <v>31.86</v>
      </c>
    </row>
    <row r="163" spans="1:18" x14ac:dyDescent="0.25">
      <c r="A163" t="s">
        <v>227</v>
      </c>
      <c r="B163" s="1">
        <v>44137</v>
      </c>
      <c r="C163">
        <v>2020</v>
      </c>
      <c r="D163" t="s">
        <v>103</v>
      </c>
      <c r="E163" t="str">
        <f t="shared" si="4"/>
        <v>North</v>
      </c>
      <c r="F163" t="s">
        <v>228</v>
      </c>
      <c r="G163" t="s">
        <v>38</v>
      </c>
      <c r="H163" t="s">
        <v>46</v>
      </c>
      <c r="I163">
        <v>52.01</v>
      </c>
      <c r="J163">
        <v>79.08</v>
      </c>
      <c r="K163">
        <v>1520.43</v>
      </c>
      <c r="L163" t="str">
        <f t="shared" si="5"/>
        <v>Low</v>
      </c>
      <c r="M163" t="s">
        <v>21</v>
      </c>
      <c r="N163" t="s">
        <v>49</v>
      </c>
      <c r="O163">
        <v>96.2</v>
      </c>
      <c r="P163">
        <v>340.61</v>
      </c>
      <c r="Q163" t="s">
        <v>70</v>
      </c>
      <c r="R163">
        <v>34.04</v>
      </c>
    </row>
    <row r="164" spans="1:18" x14ac:dyDescent="0.25">
      <c r="A164" t="s">
        <v>229</v>
      </c>
      <c r="B164" s="1">
        <v>43070</v>
      </c>
      <c r="C164">
        <v>2017</v>
      </c>
      <c r="D164" t="s">
        <v>36</v>
      </c>
      <c r="E164" t="str">
        <f t="shared" si="4"/>
        <v>South</v>
      </c>
      <c r="F164" t="s">
        <v>37</v>
      </c>
      <c r="G164" t="s">
        <v>38</v>
      </c>
      <c r="H164" t="s">
        <v>20</v>
      </c>
      <c r="I164">
        <v>30.89</v>
      </c>
      <c r="J164">
        <v>164.87</v>
      </c>
      <c r="K164">
        <v>5337.3</v>
      </c>
      <c r="L164" t="str">
        <f t="shared" si="5"/>
        <v>High</v>
      </c>
      <c r="M164" t="s">
        <v>21</v>
      </c>
      <c r="N164" t="s">
        <v>29</v>
      </c>
      <c r="O164">
        <v>115.39</v>
      </c>
      <c r="P164">
        <v>559.54999999999995</v>
      </c>
      <c r="Q164" t="s">
        <v>42</v>
      </c>
      <c r="R164">
        <v>20.93</v>
      </c>
    </row>
    <row r="165" spans="1:18" x14ac:dyDescent="0.25">
      <c r="A165" t="s">
        <v>230</v>
      </c>
      <c r="B165" s="1">
        <v>42475</v>
      </c>
      <c r="C165">
        <v>2016</v>
      </c>
      <c r="D165" t="s">
        <v>31</v>
      </c>
      <c r="E165" t="str">
        <f t="shared" si="4"/>
        <v>West</v>
      </c>
      <c r="F165" t="s">
        <v>82</v>
      </c>
      <c r="G165" t="s">
        <v>19</v>
      </c>
      <c r="H165" t="s">
        <v>27</v>
      </c>
      <c r="I165">
        <v>92.39</v>
      </c>
      <c r="J165">
        <v>584.53</v>
      </c>
      <c r="K165">
        <v>6326.81</v>
      </c>
      <c r="L165" t="str">
        <f t="shared" si="5"/>
        <v>High</v>
      </c>
      <c r="M165" t="s">
        <v>34</v>
      </c>
      <c r="N165" t="s">
        <v>41</v>
      </c>
      <c r="O165">
        <v>222.57</v>
      </c>
      <c r="P165">
        <v>838.71</v>
      </c>
      <c r="Q165" t="s">
        <v>70</v>
      </c>
      <c r="R165">
        <v>25.51</v>
      </c>
    </row>
    <row r="166" spans="1:18" x14ac:dyDescent="0.25">
      <c r="A166" t="s">
        <v>231</v>
      </c>
      <c r="B166" s="1">
        <v>41234</v>
      </c>
      <c r="C166">
        <v>2012</v>
      </c>
      <c r="D166" t="s">
        <v>103</v>
      </c>
      <c r="E166" t="str">
        <f t="shared" si="4"/>
        <v>North</v>
      </c>
      <c r="F166" t="s">
        <v>107</v>
      </c>
      <c r="G166" t="s">
        <v>38</v>
      </c>
      <c r="H166" t="s">
        <v>39</v>
      </c>
      <c r="I166">
        <v>98.89</v>
      </c>
      <c r="J166">
        <v>320.58</v>
      </c>
      <c r="K166">
        <v>3241.75</v>
      </c>
      <c r="L166" t="str">
        <f t="shared" si="5"/>
        <v>Medium</v>
      </c>
      <c r="M166" t="s">
        <v>28</v>
      </c>
      <c r="N166" t="s">
        <v>47</v>
      </c>
      <c r="O166">
        <v>239.34</v>
      </c>
      <c r="P166">
        <v>1001.99</v>
      </c>
      <c r="Q166" t="s">
        <v>42</v>
      </c>
      <c r="R166">
        <v>31.43</v>
      </c>
    </row>
    <row r="167" spans="1:18" x14ac:dyDescent="0.25">
      <c r="A167" t="s">
        <v>232</v>
      </c>
      <c r="B167" s="1">
        <v>44614</v>
      </c>
      <c r="C167">
        <v>2021</v>
      </c>
      <c r="D167" t="s">
        <v>36</v>
      </c>
      <c r="E167" t="str">
        <f t="shared" si="4"/>
        <v>South</v>
      </c>
      <c r="F167" t="s">
        <v>77</v>
      </c>
      <c r="G167" t="s">
        <v>38</v>
      </c>
      <c r="H167" t="s">
        <v>64</v>
      </c>
      <c r="I167">
        <v>91.81</v>
      </c>
      <c r="J167">
        <v>153.62</v>
      </c>
      <c r="K167">
        <v>1673.25</v>
      </c>
      <c r="L167" t="str">
        <f t="shared" si="5"/>
        <v>Low</v>
      </c>
      <c r="M167" t="s">
        <v>40</v>
      </c>
      <c r="N167" t="s">
        <v>22</v>
      </c>
      <c r="O167">
        <v>193.18</v>
      </c>
      <c r="P167">
        <v>349.85</v>
      </c>
      <c r="Q167" t="s">
        <v>70</v>
      </c>
      <c r="R167">
        <v>32.82</v>
      </c>
    </row>
    <row r="168" spans="1:18" x14ac:dyDescent="0.25">
      <c r="A168" t="s">
        <v>233</v>
      </c>
      <c r="B168" s="1">
        <v>44322</v>
      </c>
      <c r="C168">
        <v>2021</v>
      </c>
      <c r="D168" t="s">
        <v>17</v>
      </c>
      <c r="E168" t="str">
        <f t="shared" si="4"/>
        <v>North</v>
      </c>
      <c r="F168" t="s">
        <v>18</v>
      </c>
      <c r="G168" t="s">
        <v>19</v>
      </c>
      <c r="H168" t="s">
        <v>46</v>
      </c>
      <c r="I168">
        <v>10</v>
      </c>
      <c r="J168">
        <v>40.619999999999997</v>
      </c>
      <c r="K168">
        <v>4062.25</v>
      </c>
      <c r="L168" t="str">
        <f t="shared" si="5"/>
        <v>Medium</v>
      </c>
      <c r="M168" t="s">
        <v>21</v>
      </c>
      <c r="N168" t="s">
        <v>29</v>
      </c>
      <c r="O168">
        <v>163.36000000000001</v>
      </c>
      <c r="P168">
        <v>713.25</v>
      </c>
      <c r="Q168" t="s">
        <v>52</v>
      </c>
      <c r="R168">
        <v>28.46</v>
      </c>
    </row>
    <row r="169" spans="1:18" x14ac:dyDescent="0.25">
      <c r="A169" t="s">
        <v>234</v>
      </c>
      <c r="B169" s="1">
        <v>44486</v>
      </c>
      <c r="C169">
        <v>2021</v>
      </c>
      <c r="D169" t="s">
        <v>17</v>
      </c>
      <c r="E169" t="str">
        <f t="shared" si="4"/>
        <v>North</v>
      </c>
      <c r="F169" t="s">
        <v>72</v>
      </c>
      <c r="G169" t="s">
        <v>33</v>
      </c>
      <c r="H169" t="s">
        <v>46</v>
      </c>
      <c r="I169">
        <v>26.19</v>
      </c>
      <c r="J169">
        <v>26.66</v>
      </c>
      <c r="K169">
        <v>1018.09</v>
      </c>
      <c r="L169" t="str">
        <f t="shared" si="5"/>
        <v>Low</v>
      </c>
      <c r="M169" t="s">
        <v>40</v>
      </c>
      <c r="N169" t="s">
        <v>22</v>
      </c>
      <c r="O169">
        <v>194.58</v>
      </c>
      <c r="P169">
        <v>245.29</v>
      </c>
      <c r="Q169" t="s">
        <v>70</v>
      </c>
      <c r="R169">
        <v>30.51</v>
      </c>
    </row>
    <row r="170" spans="1:18" x14ac:dyDescent="0.25">
      <c r="A170" t="s">
        <v>235</v>
      </c>
      <c r="B170" s="1">
        <v>40579</v>
      </c>
      <c r="C170">
        <v>2010</v>
      </c>
      <c r="D170" t="s">
        <v>25</v>
      </c>
      <c r="E170" t="str">
        <f t="shared" si="4"/>
        <v>North</v>
      </c>
      <c r="F170" t="s">
        <v>87</v>
      </c>
      <c r="G170" t="s">
        <v>38</v>
      </c>
      <c r="H170" t="s">
        <v>46</v>
      </c>
      <c r="I170">
        <v>18.82</v>
      </c>
      <c r="J170">
        <v>34.11</v>
      </c>
      <c r="K170">
        <v>1812.57</v>
      </c>
      <c r="L170" t="str">
        <f t="shared" si="5"/>
        <v>Low</v>
      </c>
      <c r="M170" t="s">
        <v>28</v>
      </c>
      <c r="N170" t="s">
        <v>29</v>
      </c>
      <c r="O170">
        <v>143.62</v>
      </c>
      <c r="P170">
        <v>1091.33</v>
      </c>
      <c r="Q170" t="s">
        <v>52</v>
      </c>
      <c r="R170">
        <v>33.04</v>
      </c>
    </row>
    <row r="171" spans="1:18" x14ac:dyDescent="0.25">
      <c r="A171" t="s">
        <v>236</v>
      </c>
      <c r="B171" s="1">
        <v>43936</v>
      </c>
      <c r="C171">
        <v>2020</v>
      </c>
      <c r="D171" t="s">
        <v>25</v>
      </c>
      <c r="E171" t="str">
        <f t="shared" si="4"/>
        <v>North</v>
      </c>
      <c r="F171" t="s">
        <v>69</v>
      </c>
      <c r="G171" t="s">
        <v>19</v>
      </c>
      <c r="H171" t="s">
        <v>56</v>
      </c>
      <c r="I171">
        <v>65.7</v>
      </c>
      <c r="J171">
        <v>202.79</v>
      </c>
      <c r="K171">
        <v>3086.62</v>
      </c>
      <c r="L171" t="str">
        <f t="shared" si="5"/>
        <v>Medium</v>
      </c>
      <c r="M171" t="s">
        <v>40</v>
      </c>
      <c r="N171" t="s">
        <v>22</v>
      </c>
      <c r="O171">
        <v>298.20999999999998</v>
      </c>
      <c r="P171">
        <v>593.05999999999995</v>
      </c>
      <c r="Q171" t="s">
        <v>42</v>
      </c>
      <c r="R171">
        <v>30.92</v>
      </c>
    </row>
    <row r="172" spans="1:18" x14ac:dyDescent="0.25">
      <c r="A172" t="s">
        <v>237</v>
      </c>
      <c r="B172" s="1">
        <v>41992</v>
      </c>
      <c r="C172">
        <v>2014</v>
      </c>
      <c r="D172" t="s">
        <v>44</v>
      </c>
      <c r="E172" t="str">
        <f t="shared" si="4"/>
        <v>East</v>
      </c>
      <c r="F172" t="s">
        <v>45</v>
      </c>
      <c r="G172" t="s">
        <v>38</v>
      </c>
      <c r="H172" t="s">
        <v>39</v>
      </c>
      <c r="I172">
        <v>72.19</v>
      </c>
      <c r="J172">
        <v>255.9</v>
      </c>
      <c r="K172">
        <v>3544.77</v>
      </c>
      <c r="L172" t="str">
        <f t="shared" si="5"/>
        <v>Medium</v>
      </c>
      <c r="M172" t="s">
        <v>28</v>
      </c>
      <c r="N172" t="s">
        <v>22</v>
      </c>
      <c r="O172">
        <v>255.84</v>
      </c>
      <c r="P172">
        <v>447.51</v>
      </c>
      <c r="Q172" t="s">
        <v>70</v>
      </c>
      <c r="R172">
        <v>22.33</v>
      </c>
    </row>
    <row r="173" spans="1:18" x14ac:dyDescent="0.25">
      <c r="A173" t="s">
        <v>238</v>
      </c>
      <c r="B173" s="1">
        <v>42463</v>
      </c>
      <c r="C173">
        <v>2016</v>
      </c>
      <c r="D173" t="s">
        <v>25</v>
      </c>
      <c r="E173" t="str">
        <f t="shared" si="4"/>
        <v>North</v>
      </c>
      <c r="F173" t="s">
        <v>69</v>
      </c>
      <c r="G173" t="s">
        <v>19</v>
      </c>
      <c r="H173" t="s">
        <v>64</v>
      </c>
      <c r="I173">
        <v>24.83</v>
      </c>
      <c r="J173">
        <v>34.86</v>
      </c>
      <c r="K173">
        <v>1403.75</v>
      </c>
      <c r="L173" t="str">
        <f t="shared" si="5"/>
        <v>Low</v>
      </c>
      <c r="M173" t="s">
        <v>21</v>
      </c>
      <c r="N173" t="s">
        <v>29</v>
      </c>
      <c r="O173">
        <v>161.61000000000001</v>
      </c>
      <c r="P173">
        <v>872.02</v>
      </c>
      <c r="Q173" t="s">
        <v>23</v>
      </c>
      <c r="R173">
        <v>23.67</v>
      </c>
    </row>
    <row r="174" spans="1:18" x14ac:dyDescent="0.25">
      <c r="A174" t="s">
        <v>239</v>
      </c>
      <c r="B174" s="1">
        <v>43334</v>
      </c>
      <c r="C174">
        <v>2018</v>
      </c>
      <c r="D174" t="s">
        <v>36</v>
      </c>
      <c r="E174" t="str">
        <f t="shared" si="4"/>
        <v>South</v>
      </c>
      <c r="F174" t="s">
        <v>37</v>
      </c>
      <c r="G174" t="s">
        <v>33</v>
      </c>
      <c r="H174" t="s">
        <v>64</v>
      </c>
      <c r="I174">
        <v>14.87</v>
      </c>
      <c r="J174">
        <v>103.51</v>
      </c>
      <c r="K174">
        <v>6960.9</v>
      </c>
      <c r="L174" t="str">
        <f t="shared" si="5"/>
        <v>High</v>
      </c>
      <c r="M174" t="s">
        <v>40</v>
      </c>
      <c r="N174" t="s">
        <v>41</v>
      </c>
      <c r="O174">
        <v>253.95</v>
      </c>
      <c r="P174">
        <v>931.52</v>
      </c>
      <c r="Q174" t="s">
        <v>70</v>
      </c>
      <c r="R174">
        <v>28.66</v>
      </c>
    </row>
    <row r="175" spans="1:18" x14ac:dyDescent="0.25">
      <c r="A175" t="s">
        <v>240</v>
      </c>
      <c r="B175" s="1">
        <v>43944</v>
      </c>
      <c r="C175">
        <v>2020</v>
      </c>
      <c r="D175" t="s">
        <v>31</v>
      </c>
      <c r="E175" t="str">
        <f t="shared" si="4"/>
        <v>West</v>
      </c>
      <c r="F175" t="s">
        <v>82</v>
      </c>
      <c r="G175" t="s">
        <v>19</v>
      </c>
      <c r="H175" t="s">
        <v>56</v>
      </c>
      <c r="I175">
        <v>41.94</v>
      </c>
      <c r="J175">
        <v>111.18</v>
      </c>
      <c r="K175">
        <v>2650.92</v>
      </c>
      <c r="L175" t="str">
        <f t="shared" si="5"/>
        <v>Low</v>
      </c>
      <c r="M175" t="s">
        <v>40</v>
      </c>
      <c r="N175" t="s">
        <v>29</v>
      </c>
      <c r="O175">
        <v>206.5</v>
      </c>
      <c r="P175">
        <v>627.20000000000005</v>
      </c>
      <c r="Q175" t="s">
        <v>52</v>
      </c>
      <c r="R175">
        <v>20.7</v>
      </c>
    </row>
    <row r="176" spans="1:18" x14ac:dyDescent="0.25">
      <c r="A176" t="s">
        <v>241</v>
      </c>
      <c r="B176" s="1">
        <v>42140</v>
      </c>
      <c r="C176">
        <v>2015</v>
      </c>
      <c r="D176" t="s">
        <v>44</v>
      </c>
      <c r="E176" t="str">
        <f t="shared" si="4"/>
        <v>East</v>
      </c>
      <c r="F176" t="s">
        <v>67</v>
      </c>
      <c r="G176" t="s">
        <v>19</v>
      </c>
      <c r="H176" t="s">
        <v>46</v>
      </c>
      <c r="I176">
        <v>41.42</v>
      </c>
      <c r="J176">
        <v>115.95</v>
      </c>
      <c r="K176">
        <v>2799.33</v>
      </c>
      <c r="L176" t="str">
        <f t="shared" si="5"/>
        <v>Low</v>
      </c>
      <c r="M176" t="s">
        <v>40</v>
      </c>
      <c r="N176" t="s">
        <v>41</v>
      </c>
      <c r="O176">
        <v>238.6</v>
      </c>
      <c r="P176">
        <v>673.52</v>
      </c>
      <c r="Q176" t="s">
        <v>42</v>
      </c>
      <c r="R176">
        <v>24.51</v>
      </c>
    </row>
    <row r="177" spans="1:18" x14ac:dyDescent="0.25">
      <c r="A177" t="s">
        <v>242</v>
      </c>
      <c r="B177" s="1">
        <v>40328</v>
      </c>
      <c r="C177">
        <v>2010</v>
      </c>
      <c r="D177" t="s">
        <v>44</v>
      </c>
      <c r="E177" t="str">
        <f t="shared" si="4"/>
        <v>East</v>
      </c>
      <c r="F177" t="s">
        <v>99</v>
      </c>
      <c r="G177" t="s">
        <v>19</v>
      </c>
      <c r="H177" t="s">
        <v>46</v>
      </c>
      <c r="I177">
        <v>96.81</v>
      </c>
      <c r="J177">
        <v>420.52</v>
      </c>
      <c r="K177">
        <v>4343.72</v>
      </c>
      <c r="L177" t="str">
        <f t="shared" si="5"/>
        <v>Medium</v>
      </c>
      <c r="M177" t="s">
        <v>40</v>
      </c>
      <c r="N177" t="s">
        <v>29</v>
      </c>
      <c r="O177">
        <v>147.1</v>
      </c>
      <c r="P177">
        <v>455</v>
      </c>
      <c r="Q177" t="s">
        <v>70</v>
      </c>
      <c r="R177">
        <v>29.7</v>
      </c>
    </row>
    <row r="178" spans="1:18" x14ac:dyDescent="0.25">
      <c r="A178" t="s">
        <v>243</v>
      </c>
      <c r="B178" s="1">
        <v>40682</v>
      </c>
      <c r="C178">
        <v>2011</v>
      </c>
      <c r="D178" t="s">
        <v>44</v>
      </c>
      <c r="E178" t="str">
        <f t="shared" si="4"/>
        <v>East</v>
      </c>
      <c r="F178" t="s">
        <v>99</v>
      </c>
      <c r="G178" t="s">
        <v>19</v>
      </c>
      <c r="H178" t="s">
        <v>39</v>
      </c>
      <c r="I178">
        <v>83.11</v>
      </c>
      <c r="J178">
        <v>108.81</v>
      </c>
      <c r="K178">
        <v>1309.22</v>
      </c>
      <c r="L178" t="str">
        <f t="shared" si="5"/>
        <v>Low</v>
      </c>
      <c r="M178" t="s">
        <v>28</v>
      </c>
      <c r="N178" t="s">
        <v>47</v>
      </c>
      <c r="O178">
        <v>218.42</v>
      </c>
      <c r="P178">
        <v>802.92</v>
      </c>
      <c r="Q178" t="s">
        <v>23</v>
      </c>
      <c r="R178">
        <v>22.82</v>
      </c>
    </row>
    <row r="179" spans="1:18" x14ac:dyDescent="0.25">
      <c r="A179" t="s">
        <v>244</v>
      </c>
      <c r="B179" s="1">
        <v>43282</v>
      </c>
      <c r="C179">
        <v>2018</v>
      </c>
      <c r="D179" t="s">
        <v>17</v>
      </c>
      <c r="E179" t="str">
        <f t="shared" si="4"/>
        <v>North</v>
      </c>
      <c r="F179" t="s">
        <v>54</v>
      </c>
      <c r="G179" t="s">
        <v>33</v>
      </c>
      <c r="H179" t="s">
        <v>46</v>
      </c>
      <c r="I179">
        <v>21.68</v>
      </c>
      <c r="J179">
        <v>139.66999999999999</v>
      </c>
      <c r="K179">
        <v>6442.2</v>
      </c>
      <c r="L179" t="str">
        <f t="shared" si="5"/>
        <v>High</v>
      </c>
      <c r="M179" t="s">
        <v>34</v>
      </c>
      <c r="N179" t="s">
        <v>29</v>
      </c>
      <c r="O179">
        <v>289.25</v>
      </c>
      <c r="P179">
        <v>215.33</v>
      </c>
      <c r="Q179" t="s">
        <v>42</v>
      </c>
      <c r="R179">
        <v>34.43</v>
      </c>
    </row>
    <row r="180" spans="1:18" x14ac:dyDescent="0.25">
      <c r="A180" t="s">
        <v>245</v>
      </c>
      <c r="B180" s="1">
        <v>43575</v>
      </c>
      <c r="C180">
        <v>2019</v>
      </c>
      <c r="D180" t="s">
        <v>103</v>
      </c>
      <c r="E180" t="str">
        <f t="shared" si="4"/>
        <v>North</v>
      </c>
      <c r="F180" t="s">
        <v>228</v>
      </c>
      <c r="G180" t="s">
        <v>19</v>
      </c>
      <c r="H180" t="s">
        <v>56</v>
      </c>
      <c r="I180">
        <v>40.270000000000003</v>
      </c>
      <c r="J180">
        <v>98.1</v>
      </c>
      <c r="K180">
        <v>2435.9899999999998</v>
      </c>
      <c r="L180" t="str">
        <f t="shared" si="5"/>
        <v>Low</v>
      </c>
      <c r="M180" t="s">
        <v>34</v>
      </c>
      <c r="N180" t="s">
        <v>49</v>
      </c>
      <c r="O180">
        <v>243.88</v>
      </c>
      <c r="P180">
        <v>580.66</v>
      </c>
      <c r="Q180" t="s">
        <v>61</v>
      </c>
      <c r="R180">
        <v>29.73</v>
      </c>
    </row>
    <row r="181" spans="1:18" x14ac:dyDescent="0.25">
      <c r="A181" t="s">
        <v>246</v>
      </c>
      <c r="B181" s="1">
        <v>43096</v>
      </c>
      <c r="C181">
        <v>2017</v>
      </c>
      <c r="D181" t="s">
        <v>31</v>
      </c>
      <c r="E181" t="str">
        <f t="shared" si="4"/>
        <v>West</v>
      </c>
      <c r="F181" t="s">
        <v>117</v>
      </c>
      <c r="G181" t="s">
        <v>38</v>
      </c>
      <c r="H181" t="s">
        <v>64</v>
      </c>
      <c r="I181">
        <v>80.48</v>
      </c>
      <c r="J181">
        <v>429.32</v>
      </c>
      <c r="K181">
        <v>5334.48</v>
      </c>
      <c r="L181" t="str">
        <f t="shared" si="5"/>
        <v>High</v>
      </c>
      <c r="M181" t="s">
        <v>34</v>
      </c>
      <c r="N181" t="s">
        <v>41</v>
      </c>
      <c r="O181">
        <v>278.58</v>
      </c>
      <c r="P181">
        <v>570.70000000000005</v>
      </c>
      <c r="Q181" t="s">
        <v>52</v>
      </c>
      <c r="R181">
        <v>20.69</v>
      </c>
    </row>
    <row r="182" spans="1:18" x14ac:dyDescent="0.25">
      <c r="A182" t="s">
        <v>247</v>
      </c>
      <c r="B182" s="1">
        <v>43232</v>
      </c>
      <c r="C182">
        <v>2018</v>
      </c>
      <c r="D182" t="s">
        <v>25</v>
      </c>
      <c r="E182" t="str">
        <f t="shared" si="4"/>
        <v>North</v>
      </c>
      <c r="F182" t="s">
        <v>87</v>
      </c>
      <c r="G182" t="s">
        <v>19</v>
      </c>
      <c r="H182" t="s">
        <v>27</v>
      </c>
      <c r="I182">
        <v>72.28</v>
      </c>
      <c r="J182">
        <v>200.3</v>
      </c>
      <c r="K182">
        <v>2771.15</v>
      </c>
      <c r="L182" t="str">
        <f t="shared" si="5"/>
        <v>Low</v>
      </c>
      <c r="M182" t="s">
        <v>40</v>
      </c>
      <c r="N182" t="s">
        <v>49</v>
      </c>
      <c r="O182">
        <v>132.47</v>
      </c>
      <c r="P182">
        <v>579.84</v>
      </c>
      <c r="Q182" t="s">
        <v>42</v>
      </c>
      <c r="R182">
        <v>27.49</v>
      </c>
    </row>
    <row r="183" spans="1:18" x14ac:dyDescent="0.25">
      <c r="A183" t="s">
        <v>248</v>
      </c>
      <c r="B183" s="1">
        <v>44343</v>
      </c>
      <c r="C183">
        <v>2021</v>
      </c>
      <c r="D183" t="s">
        <v>31</v>
      </c>
      <c r="E183" t="str">
        <f t="shared" si="4"/>
        <v>West</v>
      </c>
      <c r="F183" t="s">
        <v>32</v>
      </c>
      <c r="G183" t="s">
        <v>19</v>
      </c>
      <c r="H183" t="s">
        <v>39</v>
      </c>
      <c r="I183">
        <v>49.57</v>
      </c>
      <c r="J183">
        <v>99.61</v>
      </c>
      <c r="K183">
        <v>2009.4</v>
      </c>
      <c r="L183" t="str">
        <f t="shared" si="5"/>
        <v>Low</v>
      </c>
      <c r="M183" t="s">
        <v>34</v>
      </c>
      <c r="N183" t="s">
        <v>47</v>
      </c>
      <c r="O183">
        <v>92.32</v>
      </c>
      <c r="P183">
        <v>920.31</v>
      </c>
      <c r="Q183" t="s">
        <v>52</v>
      </c>
      <c r="R183">
        <v>22.76</v>
      </c>
    </row>
    <row r="184" spans="1:18" x14ac:dyDescent="0.25">
      <c r="A184" t="s">
        <v>249</v>
      </c>
      <c r="B184" s="1">
        <v>43290</v>
      </c>
      <c r="C184">
        <v>2018</v>
      </c>
      <c r="D184" t="s">
        <v>17</v>
      </c>
      <c r="E184" t="str">
        <f t="shared" si="4"/>
        <v>North</v>
      </c>
      <c r="F184" t="s">
        <v>18</v>
      </c>
      <c r="G184" t="s">
        <v>33</v>
      </c>
      <c r="H184" t="s">
        <v>64</v>
      </c>
      <c r="I184">
        <v>94.57</v>
      </c>
      <c r="J184">
        <v>473.73</v>
      </c>
      <c r="K184">
        <v>5009.29</v>
      </c>
      <c r="L184" t="str">
        <f t="shared" si="5"/>
        <v>High</v>
      </c>
      <c r="M184" t="s">
        <v>21</v>
      </c>
      <c r="N184" t="s">
        <v>22</v>
      </c>
      <c r="O184">
        <v>153.1</v>
      </c>
      <c r="P184">
        <v>1042.54</v>
      </c>
      <c r="Q184" t="s">
        <v>42</v>
      </c>
      <c r="R184">
        <v>21.02</v>
      </c>
    </row>
    <row r="185" spans="1:18" x14ac:dyDescent="0.25">
      <c r="A185" t="s">
        <v>250</v>
      </c>
      <c r="B185" s="1">
        <v>43043</v>
      </c>
      <c r="C185">
        <v>2017</v>
      </c>
      <c r="D185" t="s">
        <v>103</v>
      </c>
      <c r="E185" t="str">
        <f t="shared" si="4"/>
        <v>North</v>
      </c>
      <c r="F185" t="s">
        <v>228</v>
      </c>
      <c r="G185" t="s">
        <v>38</v>
      </c>
      <c r="H185" t="s">
        <v>64</v>
      </c>
      <c r="I185">
        <v>62.17</v>
      </c>
      <c r="J185">
        <v>310.88</v>
      </c>
      <c r="K185">
        <v>5000.53</v>
      </c>
      <c r="L185" t="str">
        <f t="shared" si="5"/>
        <v>High</v>
      </c>
      <c r="M185" t="s">
        <v>28</v>
      </c>
      <c r="N185" t="s">
        <v>22</v>
      </c>
      <c r="O185">
        <v>214.82</v>
      </c>
      <c r="P185">
        <v>215.73</v>
      </c>
      <c r="Q185" t="s">
        <v>61</v>
      </c>
      <c r="R185">
        <v>28.27</v>
      </c>
    </row>
    <row r="186" spans="1:18" x14ac:dyDescent="0.25">
      <c r="A186" t="s">
        <v>251</v>
      </c>
      <c r="B186" s="1">
        <v>41763</v>
      </c>
      <c r="C186">
        <v>2014</v>
      </c>
      <c r="D186" t="s">
        <v>59</v>
      </c>
      <c r="E186" t="str">
        <f t="shared" si="4"/>
        <v>East</v>
      </c>
      <c r="F186" t="s">
        <v>93</v>
      </c>
      <c r="G186" t="s">
        <v>19</v>
      </c>
      <c r="H186" t="s">
        <v>20</v>
      </c>
      <c r="I186">
        <v>2.7</v>
      </c>
      <c r="J186">
        <v>15.87</v>
      </c>
      <c r="K186">
        <v>5878.94</v>
      </c>
      <c r="L186" t="str">
        <f t="shared" si="5"/>
        <v>High</v>
      </c>
      <c r="M186" t="s">
        <v>28</v>
      </c>
      <c r="N186" t="s">
        <v>41</v>
      </c>
      <c r="O186">
        <v>251.54</v>
      </c>
      <c r="P186">
        <v>1109.77</v>
      </c>
      <c r="Q186" t="s">
        <v>23</v>
      </c>
      <c r="R186">
        <v>33.770000000000003</v>
      </c>
    </row>
    <row r="187" spans="1:18" x14ac:dyDescent="0.25">
      <c r="A187" t="s">
        <v>252</v>
      </c>
      <c r="B187" s="1">
        <v>43600</v>
      </c>
      <c r="C187">
        <v>2019</v>
      </c>
      <c r="D187" t="s">
        <v>103</v>
      </c>
      <c r="E187" t="str">
        <f t="shared" si="4"/>
        <v>North</v>
      </c>
      <c r="F187" t="s">
        <v>104</v>
      </c>
      <c r="G187" t="s">
        <v>19</v>
      </c>
      <c r="H187" t="s">
        <v>20</v>
      </c>
      <c r="I187">
        <v>81.709999999999994</v>
      </c>
      <c r="J187">
        <v>212.77</v>
      </c>
      <c r="K187">
        <v>2603.9499999999998</v>
      </c>
      <c r="L187" t="str">
        <f t="shared" si="5"/>
        <v>Low</v>
      </c>
      <c r="M187" t="s">
        <v>28</v>
      </c>
      <c r="N187" t="s">
        <v>41</v>
      </c>
      <c r="O187">
        <v>69.75</v>
      </c>
      <c r="P187">
        <v>1159.3</v>
      </c>
      <c r="Q187" t="s">
        <v>52</v>
      </c>
      <c r="R187">
        <v>28.48</v>
      </c>
    </row>
    <row r="188" spans="1:18" x14ac:dyDescent="0.25">
      <c r="A188" t="s">
        <v>253</v>
      </c>
      <c r="B188" s="1">
        <v>40639</v>
      </c>
      <c r="C188">
        <v>2011</v>
      </c>
      <c r="D188" t="s">
        <v>31</v>
      </c>
      <c r="E188" t="str">
        <f t="shared" si="4"/>
        <v>West</v>
      </c>
      <c r="F188" t="s">
        <v>117</v>
      </c>
      <c r="G188" t="s">
        <v>19</v>
      </c>
      <c r="H188" t="s">
        <v>39</v>
      </c>
      <c r="I188">
        <v>76.2</v>
      </c>
      <c r="J188">
        <v>118.95</v>
      </c>
      <c r="K188">
        <v>1561</v>
      </c>
      <c r="L188" t="str">
        <f t="shared" si="5"/>
        <v>Low</v>
      </c>
      <c r="M188" t="s">
        <v>28</v>
      </c>
      <c r="N188" t="s">
        <v>29</v>
      </c>
      <c r="O188">
        <v>144.29</v>
      </c>
      <c r="P188">
        <v>676.01</v>
      </c>
      <c r="Q188" t="s">
        <v>23</v>
      </c>
      <c r="R188">
        <v>30.54</v>
      </c>
    </row>
    <row r="189" spans="1:18" x14ac:dyDescent="0.25">
      <c r="A189" t="s">
        <v>254</v>
      </c>
      <c r="B189" s="1">
        <v>44147</v>
      </c>
      <c r="C189">
        <v>2020</v>
      </c>
      <c r="D189" t="s">
        <v>44</v>
      </c>
      <c r="E189" t="str">
        <f t="shared" si="4"/>
        <v>East</v>
      </c>
      <c r="F189" t="s">
        <v>99</v>
      </c>
      <c r="G189" t="s">
        <v>38</v>
      </c>
      <c r="H189" t="s">
        <v>27</v>
      </c>
      <c r="I189">
        <v>97.76</v>
      </c>
      <c r="J189">
        <v>668.98</v>
      </c>
      <c r="K189">
        <v>6843.04</v>
      </c>
      <c r="L189" t="str">
        <f t="shared" si="5"/>
        <v>High</v>
      </c>
      <c r="M189" t="s">
        <v>21</v>
      </c>
      <c r="N189" t="s">
        <v>22</v>
      </c>
      <c r="O189">
        <v>107.44</v>
      </c>
      <c r="P189">
        <v>1101.27</v>
      </c>
      <c r="Q189" t="s">
        <v>61</v>
      </c>
      <c r="R189">
        <v>27.13</v>
      </c>
    </row>
    <row r="190" spans="1:18" x14ac:dyDescent="0.25">
      <c r="A190" t="s">
        <v>255</v>
      </c>
      <c r="B190" s="1">
        <v>43236</v>
      </c>
      <c r="C190">
        <v>2018</v>
      </c>
      <c r="D190" t="s">
        <v>17</v>
      </c>
      <c r="E190" t="str">
        <f t="shared" si="4"/>
        <v>North</v>
      </c>
      <c r="F190" t="s">
        <v>72</v>
      </c>
      <c r="G190" t="s">
        <v>19</v>
      </c>
      <c r="H190" t="s">
        <v>39</v>
      </c>
      <c r="I190">
        <v>4.26</v>
      </c>
      <c r="J190">
        <v>28</v>
      </c>
      <c r="K190">
        <v>6572.6</v>
      </c>
      <c r="L190" t="str">
        <f t="shared" si="5"/>
        <v>High</v>
      </c>
      <c r="M190" t="s">
        <v>34</v>
      </c>
      <c r="N190" t="s">
        <v>29</v>
      </c>
      <c r="O190">
        <v>53.91</v>
      </c>
      <c r="P190">
        <v>407.16</v>
      </c>
      <c r="Q190" t="s">
        <v>42</v>
      </c>
      <c r="R190">
        <v>31.28</v>
      </c>
    </row>
    <row r="191" spans="1:18" x14ac:dyDescent="0.25">
      <c r="A191" t="s">
        <v>256</v>
      </c>
      <c r="B191" s="1">
        <v>41022</v>
      </c>
      <c r="C191">
        <v>2012</v>
      </c>
      <c r="D191" t="s">
        <v>25</v>
      </c>
      <c r="E191" t="str">
        <f t="shared" si="4"/>
        <v>North</v>
      </c>
      <c r="F191" t="s">
        <v>87</v>
      </c>
      <c r="G191" t="s">
        <v>19</v>
      </c>
      <c r="H191" t="s">
        <v>56</v>
      </c>
      <c r="I191">
        <v>57.1</v>
      </c>
      <c r="J191">
        <v>348.12</v>
      </c>
      <c r="K191">
        <v>6096.65</v>
      </c>
      <c r="L191" t="str">
        <f t="shared" si="5"/>
        <v>High</v>
      </c>
      <c r="M191" t="s">
        <v>34</v>
      </c>
      <c r="N191" t="s">
        <v>22</v>
      </c>
      <c r="O191">
        <v>145.96</v>
      </c>
      <c r="P191">
        <v>939.75</v>
      </c>
      <c r="Q191" t="s">
        <v>23</v>
      </c>
      <c r="R191">
        <v>27.51</v>
      </c>
    </row>
    <row r="192" spans="1:18" x14ac:dyDescent="0.25">
      <c r="A192" t="s">
        <v>257</v>
      </c>
      <c r="B192" s="1">
        <v>41541</v>
      </c>
      <c r="C192">
        <v>2013</v>
      </c>
      <c r="D192" t="s">
        <v>25</v>
      </c>
      <c r="E192" t="str">
        <f t="shared" si="4"/>
        <v>North</v>
      </c>
      <c r="F192" t="s">
        <v>87</v>
      </c>
      <c r="G192" t="s">
        <v>33</v>
      </c>
      <c r="H192" t="s">
        <v>20</v>
      </c>
      <c r="I192">
        <v>60.91</v>
      </c>
      <c r="J192">
        <v>285.25</v>
      </c>
      <c r="K192">
        <v>4683.1899999999996</v>
      </c>
      <c r="L192" t="str">
        <f t="shared" si="5"/>
        <v>Medium</v>
      </c>
      <c r="M192" t="s">
        <v>28</v>
      </c>
      <c r="N192" t="s">
        <v>29</v>
      </c>
      <c r="O192">
        <v>292.23</v>
      </c>
      <c r="P192">
        <v>526.38</v>
      </c>
      <c r="Q192" t="s">
        <v>70</v>
      </c>
      <c r="R192">
        <v>31.75</v>
      </c>
    </row>
    <row r="193" spans="1:18" x14ac:dyDescent="0.25">
      <c r="A193" t="s">
        <v>258</v>
      </c>
      <c r="B193" s="1">
        <v>43426</v>
      </c>
      <c r="C193">
        <v>2018</v>
      </c>
      <c r="D193" t="s">
        <v>103</v>
      </c>
      <c r="E193" t="str">
        <f t="shared" si="4"/>
        <v>North</v>
      </c>
      <c r="F193" t="s">
        <v>107</v>
      </c>
      <c r="G193" t="s">
        <v>38</v>
      </c>
      <c r="H193" t="s">
        <v>46</v>
      </c>
      <c r="I193">
        <v>19.39</v>
      </c>
      <c r="J193">
        <v>87.55</v>
      </c>
      <c r="K193">
        <v>4515.25</v>
      </c>
      <c r="L193" t="str">
        <f t="shared" si="5"/>
        <v>Medium</v>
      </c>
      <c r="M193" t="s">
        <v>28</v>
      </c>
      <c r="N193" t="s">
        <v>49</v>
      </c>
      <c r="O193">
        <v>71.42</v>
      </c>
      <c r="P193">
        <v>818.62</v>
      </c>
      <c r="Q193" t="s">
        <v>42</v>
      </c>
      <c r="R193">
        <v>30.7</v>
      </c>
    </row>
    <row r="194" spans="1:18" x14ac:dyDescent="0.25">
      <c r="A194" t="s">
        <v>259</v>
      </c>
      <c r="B194" s="1">
        <v>44304</v>
      </c>
      <c r="C194">
        <v>2021</v>
      </c>
      <c r="D194" t="s">
        <v>103</v>
      </c>
      <c r="E194" t="str">
        <f t="shared" si="4"/>
        <v>North</v>
      </c>
      <c r="F194" t="s">
        <v>107</v>
      </c>
      <c r="G194" t="s">
        <v>19</v>
      </c>
      <c r="H194" t="s">
        <v>56</v>
      </c>
      <c r="I194">
        <v>74.23</v>
      </c>
      <c r="J194">
        <v>215.27</v>
      </c>
      <c r="K194">
        <v>2900.07</v>
      </c>
      <c r="L194" t="str">
        <f t="shared" si="5"/>
        <v>Low</v>
      </c>
      <c r="M194" t="s">
        <v>21</v>
      </c>
      <c r="N194" t="s">
        <v>22</v>
      </c>
      <c r="O194">
        <v>72.88</v>
      </c>
      <c r="P194">
        <v>1142.96</v>
      </c>
      <c r="Q194" t="s">
        <v>52</v>
      </c>
      <c r="R194">
        <v>25.4</v>
      </c>
    </row>
    <row r="195" spans="1:18" x14ac:dyDescent="0.25">
      <c r="A195" t="s">
        <v>260</v>
      </c>
      <c r="B195" s="1">
        <v>41297</v>
      </c>
      <c r="C195">
        <v>2012</v>
      </c>
      <c r="D195" t="s">
        <v>103</v>
      </c>
      <c r="E195" t="str">
        <f t="shared" ref="E195:E258" si="6">INDEX($U$2:$U$8,MATCH(D195,$T$2:$T$8,0))</f>
        <v>North</v>
      </c>
      <c r="F195" t="s">
        <v>104</v>
      </c>
      <c r="G195" t="s">
        <v>38</v>
      </c>
      <c r="H195" t="s">
        <v>46</v>
      </c>
      <c r="I195">
        <v>56.14</v>
      </c>
      <c r="J195">
        <v>228.75</v>
      </c>
      <c r="K195">
        <v>4074.65</v>
      </c>
      <c r="L195" t="str">
        <f t="shared" ref="L195:L258" si="7">IF(K195&gt;=5000,"High",IF(K195&gt;=3000,"Medium","Low"))</f>
        <v>Medium</v>
      </c>
      <c r="M195" t="s">
        <v>21</v>
      </c>
      <c r="N195" t="s">
        <v>29</v>
      </c>
      <c r="O195">
        <v>56.57</v>
      </c>
      <c r="P195">
        <v>553.91</v>
      </c>
      <c r="Q195" t="s">
        <v>23</v>
      </c>
      <c r="R195">
        <v>28.95</v>
      </c>
    </row>
    <row r="196" spans="1:18" x14ac:dyDescent="0.25">
      <c r="A196" t="s">
        <v>261</v>
      </c>
      <c r="B196" s="1">
        <v>42743</v>
      </c>
      <c r="C196">
        <v>2016</v>
      </c>
      <c r="D196" t="s">
        <v>25</v>
      </c>
      <c r="E196" t="str">
        <f t="shared" si="6"/>
        <v>North</v>
      </c>
      <c r="F196" t="s">
        <v>87</v>
      </c>
      <c r="G196" t="s">
        <v>38</v>
      </c>
      <c r="H196" t="s">
        <v>64</v>
      </c>
      <c r="I196">
        <v>72.760000000000005</v>
      </c>
      <c r="J196">
        <v>317.02999999999997</v>
      </c>
      <c r="K196">
        <v>4357.22</v>
      </c>
      <c r="L196" t="str">
        <f t="shared" si="7"/>
        <v>Medium</v>
      </c>
      <c r="M196" t="s">
        <v>40</v>
      </c>
      <c r="N196" t="s">
        <v>49</v>
      </c>
      <c r="O196">
        <v>192.99</v>
      </c>
      <c r="P196">
        <v>369.58</v>
      </c>
      <c r="Q196" t="s">
        <v>52</v>
      </c>
      <c r="R196">
        <v>22.54</v>
      </c>
    </row>
    <row r="197" spans="1:18" x14ac:dyDescent="0.25">
      <c r="A197" t="s">
        <v>262</v>
      </c>
      <c r="B197" s="1">
        <v>41187</v>
      </c>
      <c r="C197">
        <v>2012</v>
      </c>
      <c r="D197" t="s">
        <v>31</v>
      </c>
      <c r="E197" t="str">
        <f t="shared" si="6"/>
        <v>West</v>
      </c>
      <c r="F197" t="s">
        <v>32</v>
      </c>
      <c r="G197" t="s">
        <v>33</v>
      </c>
      <c r="H197" t="s">
        <v>56</v>
      </c>
      <c r="I197">
        <v>44.03</v>
      </c>
      <c r="J197">
        <v>155.28</v>
      </c>
      <c r="K197">
        <v>3526.61</v>
      </c>
      <c r="L197" t="str">
        <f t="shared" si="7"/>
        <v>Medium</v>
      </c>
      <c r="M197" t="s">
        <v>28</v>
      </c>
      <c r="N197" t="s">
        <v>47</v>
      </c>
      <c r="O197">
        <v>245.67</v>
      </c>
      <c r="P197">
        <v>561.12</v>
      </c>
      <c r="Q197" t="s">
        <v>42</v>
      </c>
      <c r="R197">
        <v>30.81</v>
      </c>
    </row>
    <row r="198" spans="1:18" x14ac:dyDescent="0.25">
      <c r="A198" t="s">
        <v>263</v>
      </c>
      <c r="B198" s="1">
        <v>42997</v>
      </c>
      <c r="C198">
        <v>2017</v>
      </c>
      <c r="D198" t="s">
        <v>59</v>
      </c>
      <c r="E198" t="str">
        <f t="shared" si="6"/>
        <v>East</v>
      </c>
      <c r="F198" t="s">
        <v>60</v>
      </c>
      <c r="G198" t="s">
        <v>33</v>
      </c>
      <c r="H198" t="s">
        <v>56</v>
      </c>
      <c r="I198">
        <v>31.16</v>
      </c>
      <c r="J198">
        <v>208.55</v>
      </c>
      <c r="K198">
        <v>6692.94</v>
      </c>
      <c r="L198" t="str">
        <f t="shared" si="7"/>
        <v>High</v>
      </c>
      <c r="M198" t="s">
        <v>34</v>
      </c>
      <c r="N198" t="s">
        <v>47</v>
      </c>
      <c r="O198">
        <v>260.39999999999998</v>
      </c>
      <c r="P198">
        <v>579.89</v>
      </c>
      <c r="Q198" t="s">
        <v>70</v>
      </c>
      <c r="R198">
        <v>26.6</v>
      </c>
    </row>
    <row r="199" spans="1:18" x14ac:dyDescent="0.25">
      <c r="A199" t="s">
        <v>264</v>
      </c>
      <c r="B199" s="1">
        <v>42145</v>
      </c>
      <c r="C199">
        <v>2015</v>
      </c>
      <c r="D199" t="s">
        <v>103</v>
      </c>
      <c r="E199" t="str">
        <f t="shared" si="6"/>
        <v>North</v>
      </c>
      <c r="F199" t="s">
        <v>107</v>
      </c>
      <c r="G199" t="s">
        <v>19</v>
      </c>
      <c r="H199" t="s">
        <v>39</v>
      </c>
      <c r="I199">
        <v>20.88</v>
      </c>
      <c r="J199">
        <v>60.24</v>
      </c>
      <c r="K199">
        <v>2885.1</v>
      </c>
      <c r="L199" t="str">
        <f t="shared" si="7"/>
        <v>Low</v>
      </c>
      <c r="M199" t="s">
        <v>28</v>
      </c>
      <c r="N199" t="s">
        <v>41</v>
      </c>
      <c r="O199">
        <v>292.18</v>
      </c>
      <c r="P199">
        <v>491.45</v>
      </c>
      <c r="Q199" t="s">
        <v>52</v>
      </c>
      <c r="R199">
        <v>34.520000000000003</v>
      </c>
    </row>
    <row r="200" spans="1:18" x14ac:dyDescent="0.25">
      <c r="A200" t="s">
        <v>265</v>
      </c>
      <c r="B200" s="1">
        <v>41997</v>
      </c>
      <c r="C200">
        <v>2014</v>
      </c>
      <c r="D200" t="s">
        <v>31</v>
      </c>
      <c r="E200" t="str">
        <f t="shared" si="6"/>
        <v>West</v>
      </c>
      <c r="F200" t="s">
        <v>32</v>
      </c>
      <c r="G200" t="s">
        <v>38</v>
      </c>
      <c r="H200" t="s">
        <v>20</v>
      </c>
      <c r="I200">
        <v>12.27</v>
      </c>
      <c r="J200">
        <v>53.78</v>
      </c>
      <c r="K200">
        <v>4383.1000000000004</v>
      </c>
      <c r="L200" t="str">
        <f t="shared" si="7"/>
        <v>Medium</v>
      </c>
      <c r="M200" t="s">
        <v>40</v>
      </c>
      <c r="N200" t="s">
        <v>29</v>
      </c>
      <c r="O200">
        <v>220.43</v>
      </c>
      <c r="P200">
        <v>750.1</v>
      </c>
      <c r="Q200" t="s">
        <v>52</v>
      </c>
      <c r="R200">
        <v>34.14</v>
      </c>
    </row>
    <row r="201" spans="1:18" x14ac:dyDescent="0.25">
      <c r="A201" t="s">
        <v>266</v>
      </c>
      <c r="B201" s="1">
        <v>44366</v>
      </c>
      <c r="C201">
        <v>2021</v>
      </c>
      <c r="D201" t="s">
        <v>44</v>
      </c>
      <c r="E201" t="str">
        <f t="shared" si="6"/>
        <v>East</v>
      </c>
      <c r="F201" t="s">
        <v>99</v>
      </c>
      <c r="G201" t="s">
        <v>33</v>
      </c>
      <c r="H201" t="s">
        <v>46</v>
      </c>
      <c r="I201">
        <v>67.62</v>
      </c>
      <c r="J201">
        <v>124.09</v>
      </c>
      <c r="K201">
        <v>1835.07</v>
      </c>
      <c r="L201" t="str">
        <f t="shared" si="7"/>
        <v>Low</v>
      </c>
      <c r="M201" t="s">
        <v>34</v>
      </c>
      <c r="N201" t="s">
        <v>29</v>
      </c>
      <c r="O201">
        <v>110.51</v>
      </c>
      <c r="P201">
        <v>858.66</v>
      </c>
      <c r="Q201" t="s">
        <v>52</v>
      </c>
      <c r="R201">
        <v>31.84</v>
      </c>
    </row>
    <row r="202" spans="1:18" x14ac:dyDescent="0.25">
      <c r="A202" t="s">
        <v>267</v>
      </c>
      <c r="B202" s="1">
        <v>43907</v>
      </c>
      <c r="C202">
        <v>2019</v>
      </c>
      <c r="D202" t="s">
        <v>59</v>
      </c>
      <c r="E202" t="str">
        <f t="shared" si="6"/>
        <v>East</v>
      </c>
      <c r="F202" t="s">
        <v>63</v>
      </c>
      <c r="G202" t="s">
        <v>38</v>
      </c>
      <c r="H202" t="s">
        <v>27</v>
      </c>
      <c r="I202">
        <v>51.15</v>
      </c>
      <c r="J202">
        <v>333.62</v>
      </c>
      <c r="K202">
        <v>6522.35</v>
      </c>
      <c r="L202" t="str">
        <f t="shared" si="7"/>
        <v>High</v>
      </c>
      <c r="M202" t="s">
        <v>28</v>
      </c>
      <c r="N202" t="s">
        <v>47</v>
      </c>
      <c r="O202">
        <v>185.91</v>
      </c>
      <c r="P202">
        <v>990.72</v>
      </c>
      <c r="Q202" t="s">
        <v>70</v>
      </c>
      <c r="R202">
        <v>30.52</v>
      </c>
    </row>
    <row r="203" spans="1:18" x14ac:dyDescent="0.25">
      <c r="A203" t="s">
        <v>268</v>
      </c>
      <c r="B203" s="1">
        <v>40779</v>
      </c>
      <c r="C203">
        <v>2011</v>
      </c>
      <c r="D203" t="s">
        <v>17</v>
      </c>
      <c r="E203" t="str">
        <f t="shared" si="6"/>
        <v>North</v>
      </c>
      <c r="F203" t="s">
        <v>18</v>
      </c>
      <c r="G203" t="s">
        <v>33</v>
      </c>
      <c r="H203" t="s">
        <v>39</v>
      </c>
      <c r="I203">
        <v>66.8</v>
      </c>
      <c r="J203">
        <v>133.47</v>
      </c>
      <c r="K203">
        <v>1998.03</v>
      </c>
      <c r="L203" t="str">
        <f t="shared" si="7"/>
        <v>Low</v>
      </c>
      <c r="M203" t="s">
        <v>21</v>
      </c>
      <c r="N203" t="s">
        <v>29</v>
      </c>
      <c r="O203">
        <v>190.81</v>
      </c>
      <c r="P203">
        <v>845.03</v>
      </c>
      <c r="Q203" t="s">
        <v>52</v>
      </c>
      <c r="R203">
        <v>34.5</v>
      </c>
    </row>
    <row r="204" spans="1:18" x14ac:dyDescent="0.25">
      <c r="A204" t="s">
        <v>269</v>
      </c>
      <c r="B204" s="1">
        <v>40886</v>
      </c>
      <c r="C204">
        <v>2011</v>
      </c>
      <c r="D204" t="s">
        <v>25</v>
      </c>
      <c r="E204" t="str">
        <f t="shared" si="6"/>
        <v>North</v>
      </c>
      <c r="F204" t="s">
        <v>26</v>
      </c>
      <c r="G204" t="s">
        <v>38</v>
      </c>
      <c r="H204" t="s">
        <v>56</v>
      </c>
      <c r="I204">
        <v>51.56</v>
      </c>
      <c r="J204">
        <v>212.06</v>
      </c>
      <c r="K204">
        <v>4112.79</v>
      </c>
      <c r="L204" t="str">
        <f t="shared" si="7"/>
        <v>Medium</v>
      </c>
      <c r="M204" t="s">
        <v>40</v>
      </c>
      <c r="N204" t="s">
        <v>49</v>
      </c>
      <c r="O204">
        <v>161.44</v>
      </c>
      <c r="P204">
        <v>591.13</v>
      </c>
      <c r="Q204" t="s">
        <v>61</v>
      </c>
      <c r="R204">
        <v>30.36</v>
      </c>
    </row>
    <row r="205" spans="1:18" x14ac:dyDescent="0.25">
      <c r="A205" t="s">
        <v>270</v>
      </c>
      <c r="B205" s="1">
        <v>40937</v>
      </c>
      <c r="C205">
        <v>2011</v>
      </c>
      <c r="D205" t="s">
        <v>25</v>
      </c>
      <c r="E205" t="str">
        <f t="shared" si="6"/>
        <v>North</v>
      </c>
      <c r="F205" t="s">
        <v>87</v>
      </c>
      <c r="G205" t="s">
        <v>38</v>
      </c>
      <c r="H205" t="s">
        <v>46</v>
      </c>
      <c r="I205">
        <v>92.13</v>
      </c>
      <c r="J205">
        <v>139.59</v>
      </c>
      <c r="K205">
        <v>1515.13</v>
      </c>
      <c r="L205" t="str">
        <f t="shared" si="7"/>
        <v>Low</v>
      </c>
      <c r="M205" t="s">
        <v>40</v>
      </c>
      <c r="N205" t="s">
        <v>29</v>
      </c>
      <c r="O205">
        <v>137.08000000000001</v>
      </c>
      <c r="P205">
        <v>543.07000000000005</v>
      </c>
      <c r="Q205" t="s">
        <v>42</v>
      </c>
      <c r="R205">
        <v>27.82</v>
      </c>
    </row>
    <row r="206" spans="1:18" x14ac:dyDescent="0.25">
      <c r="A206" t="s">
        <v>271</v>
      </c>
      <c r="B206" s="1">
        <v>44297</v>
      </c>
      <c r="C206">
        <v>2021</v>
      </c>
      <c r="D206" t="s">
        <v>25</v>
      </c>
      <c r="E206" t="str">
        <f t="shared" si="6"/>
        <v>North</v>
      </c>
      <c r="F206" t="s">
        <v>87</v>
      </c>
      <c r="G206" t="s">
        <v>19</v>
      </c>
      <c r="H206" t="s">
        <v>46</v>
      </c>
      <c r="I206">
        <v>32.57</v>
      </c>
      <c r="J206">
        <v>91.25</v>
      </c>
      <c r="K206">
        <v>2801.58</v>
      </c>
      <c r="L206" t="str">
        <f t="shared" si="7"/>
        <v>Low</v>
      </c>
      <c r="M206" t="s">
        <v>21</v>
      </c>
      <c r="N206" t="s">
        <v>41</v>
      </c>
      <c r="O206">
        <v>55.65</v>
      </c>
      <c r="P206">
        <v>543.08000000000004</v>
      </c>
      <c r="Q206" t="s">
        <v>23</v>
      </c>
      <c r="R206">
        <v>30.16</v>
      </c>
    </row>
    <row r="207" spans="1:18" x14ac:dyDescent="0.25">
      <c r="A207" t="s">
        <v>272</v>
      </c>
      <c r="B207" s="1">
        <v>43362</v>
      </c>
      <c r="C207">
        <v>2018</v>
      </c>
      <c r="D207" t="s">
        <v>59</v>
      </c>
      <c r="E207" t="str">
        <f t="shared" si="6"/>
        <v>East</v>
      </c>
      <c r="F207" t="s">
        <v>60</v>
      </c>
      <c r="G207" t="s">
        <v>33</v>
      </c>
      <c r="H207" t="s">
        <v>20</v>
      </c>
      <c r="I207">
        <v>56.43</v>
      </c>
      <c r="J207">
        <v>380.95</v>
      </c>
      <c r="K207">
        <v>6750.78</v>
      </c>
      <c r="L207" t="str">
        <f t="shared" si="7"/>
        <v>High</v>
      </c>
      <c r="M207" t="s">
        <v>40</v>
      </c>
      <c r="N207" t="s">
        <v>29</v>
      </c>
      <c r="O207">
        <v>249.44</v>
      </c>
      <c r="P207">
        <v>829.76</v>
      </c>
      <c r="Q207" t="s">
        <v>42</v>
      </c>
      <c r="R207">
        <v>29.61</v>
      </c>
    </row>
    <row r="208" spans="1:18" x14ac:dyDescent="0.25">
      <c r="A208" t="s">
        <v>273</v>
      </c>
      <c r="B208" s="1">
        <v>43754</v>
      </c>
      <c r="C208">
        <v>2019</v>
      </c>
      <c r="D208" t="s">
        <v>25</v>
      </c>
      <c r="E208" t="str">
        <f t="shared" si="6"/>
        <v>North</v>
      </c>
      <c r="F208" t="s">
        <v>69</v>
      </c>
      <c r="G208" t="s">
        <v>33</v>
      </c>
      <c r="H208" t="s">
        <v>46</v>
      </c>
      <c r="I208">
        <v>59.63</v>
      </c>
      <c r="J208">
        <v>198.75</v>
      </c>
      <c r="K208">
        <v>3333.01</v>
      </c>
      <c r="L208" t="str">
        <f t="shared" si="7"/>
        <v>Medium</v>
      </c>
      <c r="M208" t="s">
        <v>40</v>
      </c>
      <c r="N208" t="s">
        <v>41</v>
      </c>
      <c r="O208">
        <v>101.45</v>
      </c>
      <c r="P208">
        <v>952.33</v>
      </c>
      <c r="Q208" t="s">
        <v>23</v>
      </c>
      <c r="R208">
        <v>28.66</v>
      </c>
    </row>
    <row r="209" spans="1:18" x14ac:dyDescent="0.25">
      <c r="A209" t="s">
        <v>274</v>
      </c>
      <c r="B209" s="1">
        <v>41669</v>
      </c>
      <c r="C209">
        <v>2013</v>
      </c>
      <c r="D209" t="s">
        <v>31</v>
      </c>
      <c r="E209" t="str">
        <f t="shared" si="6"/>
        <v>West</v>
      </c>
      <c r="F209" t="s">
        <v>32</v>
      </c>
      <c r="G209" t="s">
        <v>38</v>
      </c>
      <c r="H209" t="s">
        <v>64</v>
      </c>
      <c r="I209">
        <v>26.97</v>
      </c>
      <c r="J209">
        <v>166.56</v>
      </c>
      <c r="K209">
        <v>6175.82</v>
      </c>
      <c r="L209" t="str">
        <f t="shared" si="7"/>
        <v>High</v>
      </c>
      <c r="M209" t="s">
        <v>34</v>
      </c>
      <c r="N209" t="s">
        <v>29</v>
      </c>
      <c r="O209">
        <v>199.24</v>
      </c>
      <c r="P209">
        <v>811.31</v>
      </c>
      <c r="Q209" t="s">
        <v>61</v>
      </c>
      <c r="R209">
        <v>21.71</v>
      </c>
    </row>
    <row r="210" spans="1:18" x14ac:dyDescent="0.25">
      <c r="A210" t="s">
        <v>275</v>
      </c>
      <c r="B210" s="1">
        <v>43966</v>
      </c>
      <c r="C210">
        <v>2020</v>
      </c>
      <c r="D210" t="s">
        <v>59</v>
      </c>
      <c r="E210" t="str">
        <f t="shared" si="6"/>
        <v>East</v>
      </c>
      <c r="F210" t="s">
        <v>60</v>
      </c>
      <c r="G210" t="s">
        <v>19</v>
      </c>
      <c r="H210" t="s">
        <v>20</v>
      </c>
      <c r="I210">
        <v>91.95</v>
      </c>
      <c r="J210">
        <v>417.55</v>
      </c>
      <c r="K210">
        <v>4541.01</v>
      </c>
      <c r="L210" t="str">
        <f t="shared" si="7"/>
        <v>Medium</v>
      </c>
      <c r="M210" t="s">
        <v>40</v>
      </c>
      <c r="N210" t="s">
        <v>41</v>
      </c>
      <c r="O210">
        <v>128.30000000000001</v>
      </c>
      <c r="P210">
        <v>438.57</v>
      </c>
      <c r="Q210" t="s">
        <v>23</v>
      </c>
      <c r="R210">
        <v>22.75</v>
      </c>
    </row>
    <row r="211" spans="1:18" x14ac:dyDescent="0.25">
      <c r="A211" t="s">
        <v>276</v>
      </c>
      <c r="B211" s="1">
        <v>42492</v>
      </c>
      <c r="C211">
        <v>2016</v>
      </c>
      <c r="D211" t="s">
        <v>59</v>
      </c>
      <c r="E211" t="str">
        <f t="shared" si="6"/>
        <v>East</v>
      </c>
      <c r="F211" t="s">
        <v>63</v>
      </c>
      <c r="G211" t="s">
        <v>19</v>
      </c>
      <c r="H211" t="s">
        <v>56</v>
      </c>
      <c r="I211">
        <v>57.91</v>
      </c>
      <c r="J211">
        <v>204.9</v>
      </c>
      <c r="K211">
        <v>3538.23</v>
      </c>
      <c r="L211" t="str">
        <f t="shared" si="7"/>
        <v>Medium</v>
      </c>
      <c r="M211" t="s">
        <v>28</v>
      </c>
      <c r="N211" t="s">
        <v>49</v>
      </c>
      <c r="O211">
        <v>208.88</v>
      </c>
      <c r="P211">
        <v>893.43</v>
      </c>
      <c r="Q211" t="s">
        <v>42</v>
      </c>
      <c r="R211">
        <v>28.32</v>
      </c>
    </row>
    <row r="212" spans="1:18" x14ac:dyDescent="0.25">
      <c r="A212" t="s">
        <v>277</v>
      </c>
      <c r="B212" s="1">
        <v>42438</v>
      </c>
      <c r="C212">
        <v>2015</v>
      </c>
      <c r="D212" t="s">
        <v>103</v>
      </c>
      <c r="E212" t="str">
        <f t="shared" si="6"/>
        <v>North</v>
      </c>
      <c r="F212" t="s">
        <v>104</v>
      </c>
      <c r="G212" t="s">
        <v>38</v>
      </c>
      <c r="H212" t="s">
        <v>27</v>
      </c>
      <c r="I212">
        <v>6.31</v>
      </c>
      <c r="J212">
        <v>19.899999999999999</v>
      </c>
      <c r="K212">
        <v>3154.24</v>
      </c>
      <c r="L212" t="str">
        <f t="shared" si="7"/>
        <v>Medium</v>
      </c>
      <c r="M212" t="s">
        <v>21</v>
      </c>
      <c r="N212" t="s">
        <v>29</v>
      </c>
      <c r="O212">
        <v>171.15</v>
      </c>
      <c r="P212">
        <v>395.13</v>
      </c>
      <c r="Q212" t="s">
        <v>52</v>
      </c>
      <c r="R212">
        <v>34.46</v>
      </c>
    </row>
    <row r="213" spans="1:18" x14ac:dyDescent="0.25">
      <c r="A213" t="s">
        <v>278</v>
      </c>
      <c r="B213" s="1">
        <v>43110</v>
      </c>
      <c r="C213">
        <v>2017</v>
      </c>
      <c r="D213" t="s">
        <v>36</v>
      </c>
      <c r="E213" t="str">
        <f t="shared" si="6"/>
        <v>South</v>
      </c>
      <c r="F213" t="s">
        <v>77</v>
      </c>
      <c r="G213" t="s">
        <v>38</v>
      </c>
      <c r="H213" t="s">
        <v>39</v>
      </c>
      <c r="I213">
        <v>84.15</v>
      </c>
      <c r="J213">
        <v>330.89</v>
      </c>
      <c r="K213">
        <v>3932.2</v>
      </c>
      <c r="L213" t="str">
        <f t="shared" si="7"/>
        <v>Medium</v>
      </c>
      <c r="M213" t="s">
        <v>21</v>
      </c>
      <c r="N213" t="s">
        <v>41</v>
      </c>
      <c r="O213">
        <v>191.35</v>
      </c>
      <c r="P213">
        <v>995.88</v>
      </c>
      <c r="Q213" t="s">
        <v>42</v>
      </c>
      <c r="R213">
        <v>24.38</v>
      </c>
    </row>
    <row r="214" spans="1:18" x14ac:dyDescent="0.25">
      <c r="A214" t="s">
        <v>279</v>
      </c>
      <c r="B214" s="1">
        <v>41307</v>
      </c>
      <c r="C214">
        <v>2012</v>
      </c>
      <c r="D214" t="s">
        <v>59</v>
      </c>
      <c r="E214" t="str">
        <f t="shared" si="6"/>
        <v>East</v>
      </c>
      <c r="F214" t="s">
        <v>63</v>
      </c>
      <c r="G214" t="s">
        <v>38</v>
      </c>
      <c r="H214" t="s">
        <v>27</v>
      </c>
      <c r="I214">
        <v>74.510000000000005</v>
      </c>
      <c r="J214">
        <v>416.92</v>
      </c>
      <c r="K214">
        <v>5595.52</v>
      </c>
      <c r="L214" t="str">
        <f t="shared" si="7"/>
        <v>High</v>
      </c>
      <c r="M214" t="s">
        <v>21</v>
      </c>
      <c r="N214" t="s">
        <v>47</v>
      </c>
      <c r="O214">
        <v>193.18</v>
      </c>
      <c r="P214">
        <v>467.89</v>
      </c>
      <c r="Q214" t="s">
        <v>61</v>
      </c>
      <c r="R214">
        <v>32.35</v>
      </c>
    </row>
    <row r="215" spans="1:18" x14ac:dyDescent="0.25">
      <c r="A215" t="s">
        <v>280</v>
      </c>
      <c r="B215" s="1">
        <v>44654</v>
      </c>
      <c r="C215">
        <v>2022</v>
      </c>
      <c r="D215" t="s">
        <v>44</v>
      </c>
      <c r="E215" t="str">
        <f t="shared" si="6"/>
        <v>East</v>
      </c>
      <c r="F215" t="s">
        <v>45</v>
      </c>
      <c r="G215" t="s">
        <v>19</v>
      </c>
      <c r="H215" t="s">
        <v>46</v>
      </c>
      <c r="I215">
        <v>55.09</v>
      </c>
      <c r="J215">
        <v>382.25</v>
      </c>
      <c r="K215">
        <v>6938.65</v>
      </c>
      <c r="L215" t="str">
        <f t="shared" si="7"/>
        <v>High</v>
      </c>
      <c r="M215" t="s">
        <v>21</v>
      </c>
      <c r="N215" t="s">
        <v>29</v>
      </c>
      <c r="O215">
        <v>234</v>
      </c>
      <c r="P215">
        <v>853.67</v>
      </c>
      <c r="Q215" t="s">
        <v>42</v>
      </c>
      <c r="R215">
        <v>24.47</v>
      </c>
    </row>
    <row r="216" spans="1:18" x14ac:dyDescent="0.25">
      <c r="A216" t="s">
        <v>281</v>
      </c>
      <c r="B216" s="1">
        <v>40883</v>
      </c>
      <c r="C216">
        <v>2011</v>
      </c>
      <c r="D216" t="s">
        <v>31</v>
      </c>
      <c r="E216" t="str">
        <f t="shared" si="6"/>
        <v>West</v>
      </c>
      <c r="F216" t="s">
        <v>32</v>
      </c>
      <c r="G216" t="s">
        <v>38</v>
      </c>
      <c r="H216" t="s">
        <v>64</v>
      </c>
      <c r="I216">
        <v>77.790000000000006</v>
      </c>
      <c r="J216">
        <v>188.38</v>
      </c>
      <c r="K216">
        <v>2421.6799999999998</v>
      </c>
      <c r="L216" t="str">
        <f t="shared" si="7"/>
        <v>Low</v>
      </c>
      <c r="M216" t="s">
        <v>34</v>
      </c>
      <c r="N216" t="s">
        <v>41</v>
      </c>
      <c r="O216">
        <v>265.26</v>
      </c>
      <c r="P216">
        <v>810.26</v>
      </c>
      <c r="Q216" t="s">
        <v>52</v>
      </c>
      <c r="R216">
        <v>22.49</v>
      </c>
    </row>
    <row r="217" spans="1:18" x14ac:dyDescent="0.25">
      <c r="A217" t="s">
        <v>282</v>
      </c>
      <c r="B217" s="1">
        <v>44844</v>
      </c>
      <c r="C217">
        <v>2022</v>
      </c>
      <c r="D217" t="s">
        <v>44</v>
      </c>
      <c r="E217" t="str">
        <f t="shared" si="6"/>
        <v>East</v>
      </c>
      <c r="F217" t="s">
        <v>45</v>
      </c>
      <c r="G217" t="s">
        <v>33</v>
      </c>
      <c r="H217" t="s">
        <v>27</v>
      </c>
      <c r="I217">
        <v>35.729999999999997</v>
      </c>
      <c r="J217">
        <v>95.99</v>
      </c>
      <c r="K217">
        <v>2686.51</v>
      </c>
      <c r="L217" t="str">
        <f t="shared" si="7"/>
        <v>Low</v>
      </c>
      <c r="M217" t="s">
        <v>40</v>
      </c>
      <c r="N217" t="s">
        <v>22</v>
      </c>
      <c r="O217">
        <v>130.91</v>
      </c>
      <c r="P217">
        <v>904.05</v>
      </c>
      <c r="Q217" t="s">
        <v>70</v>
      </c>
      <c r="R217">
        <v>28.59</v>
      </c>
    </row>
    <row r="218" spans="1:18" x14ac:dyDescent="0.25">
      <c r="A218" t="s">
        <v>283</v>
      </c>
      <c r="B218" s="1">
        <v>40583</v>
      </c>
      <c r="C218">
        <v>2010</v>
      </c>
      <c r="D218" t="s">
        <v>103</v>
      </c>
      <c r="E218" t="str">
        <f t="shared" si="6"/>
        <v>North</v>
      </c>
      <c r="F218" t="s">
        <v>107</v>
      </c>
      <c r="G218" t="s">
        <v>38</v>
      </c>
      <c r="H218" t="s">
        <v>39</v>
      </c>
      <c r="I218">
        <v>13.56</v>
      </c>
      <c r="J218">
        <v>84.02</v>
      </c>
      <c r="K218">
        <v>6196.47</v>
      </c>
      <c r="L218" t="str">
        <f t="shared" si="7"/>
        <v>High</v>
      </c>
      <c r="M218" t="s">
        <v>40</v>
      </c>
      <c r="N218" t="s">
        <v>29</v>
      </c>
      <c r="O218">
        <v>86.56</v>
      </c>
      <c r="P218">
        <v>522.1</v>
      </c>
      <c r="Q218" t="s">
        <v>42</v>
      </c>
      <c r="R218">
        <v>31.42</v>
      </c>
    </row>
    <row r="219" spans="1:18" x14ac:dyDescent="0.25">
      <c r="A219" t="s">
        <v>284</v>
      </c>
      <c r="B219" s="1">
        <v>44260</v>
      </c>
      <c r="C219">
        <v>2020</v>
      </c>
      <c r="D219" t="s">
        <v>103</v>
      </c>
      <c r="E219" t="str">
        <f t="shared" si="6"/>
        <v>North</v>
      </c>
      <c r="F219" t="s">
        <v>228</v>
      </c>
      <c r="G219" t="s">
        <v>38</v>
      </c>
      <c r="H219" t="s">
        <v>39</v>
      </c>
      <c r="I219">
        <v>42.01</v>
      </c>
      <c r="J219">
        <v>155.94</v>
      </c>
      <c r="K219">
        <v>3711.95</v>
      </c>
      <c r="L219" t="str">
        <f t="shared" si="7"/>
        <v>Medium</v>
      </c>
      <c r="M219" t="s">
        <v>21</v>
      </c>
      <c r="N219" t="s">
        <v>49</v>
      </c>
      <c r="O219">
        <v>150.71</v>
      </c>
      <c r="P219">
        <v>949.8</v>
      </c>
      <c r="Q219" t="s">
        <v>70</v>
      </c>
      <c r="R219">
        <v>26.82</v>
      </c>
    </row>
    <row r="220" spans="1:18" x14ac:dyDescent="0.25">
      <c r="A220" t="s">
        <v>285</v>
      </c>
      <c r="B220" s="1">
        <v>44679</v>
      </c>
      <c r="C220">
        <v>2022</v>
      </c>
      <c r="D220" t="s">
        <v>59</v>
      </c>
      <c r="E220" t="str">
        <f t="shared" si="6"/>
        <v>East</v>
      </c>
      <c r="F220" t="s">
        <v>60</v>
      </c>
      <c r="G220" t="s">
        <v>19</v>
      </c>
      <c r="H220" t="s">
        <v>64</v>
      </c>
      <c r="I220">
        <v>73.36</v>
      </c>
      <c r="J220">
        <v>275.14999999999998</v>
      </c>
      <c r="K220">
        <v>3750.7</v>
      </c>
      <c r="L220" t="str">
        <f t="shared" si="7"/>
        <v>Medium</v>
      </c>
      <c r="M220" t="s">
        <v>34</v>
      </c>
      <c r="N220" t="s">
        <v>41</v>
      </c>
      <c r="O220">
        <v>262.52999999999997</v>
      </c>
      <c r="P220">
        <v>995.68</v>
      </c>
      <c r="Q220" t="s">
        <v>52</v>
      </c>
      <c r="R220">
        <v>23.27</v>
      </c>
    </row>
    <row r="221" spans="1:18" x14ac:dyDescent="0.25">
      <c r="A221" t="s">
        <v>286</v>
      </c>
      <c r="B221" s="1">
        <v>42426</v>
      </c>
      <c r="C221">
        <v>2015</v>
      </c>
      <c r="D221" t="s">
        <v>36</v>
      </c>
      <c r="E221" t="str">
        <f t="shared" si="6"/>
        <v>South</v>
      </c>
      <c r="F221" t="s">
        <v>51</v>
      </c>
      <c r="G221" t="s">
        <v>38</v>
      </c>
      <c r="H221" t="s">
        <v>20</v>
      </c>
      <c r="I221">
        <v>55.18</v>
      </c>
      <c r="J221">
        <v>98.42</v>
      </c>
      <c r="K221">
        <v>1783.57</v>
      </c>
      <c r="L221" t="str">
        <f t="shared" si="7"/>
        <v>Low</v>
      </c>
      <c r="M221" t="s">
        <v>28</v>
      </c>
      <c r="N221" t="s">
        <v>22</v>
      </c>
      <c r="O221">
        <v>247.08</v>
      </c>
      <c r="P221">
        <v>1094.1500000000001</v>
      </c>
      <c r="Q221" t="s">
        <v>23</v>
      </c>
      <c r="R221">
        <v>20.69</v>
      </c>
    </row>
    <row r="222" spans="1:18" x14ac:dyDescent="0.25">
      <c r="A222" t="s">
        <v>287</v>
      </c>
      <c r="B222" s="1">
        <v>43132</v>
      </c>
      <c r="C222">
        <v>2017</v>
      </c>
      <c r="D222" t="s">
        <v>25</v>
      </c>
      <c r="E222" t="str">
        <f t="shared" si="6"/>
        <v>North</v>
      </c>
      <c r="F222" t="s">
        <v>26</v>
      </c>
      <c r="G222" t="s">
        <v>38</v>
      </c>
      <c r="H222" t="s">
        <v>64</v>
      </c>
      <c r="I222">
        <v>99.19</v>
      </c>
      <c r="J222">
        <v>353.79</v>
      </c>
      <c r="K222">
        <v>3566.8</v>
      </c>
      <c r="L222" t="str">
        <f t="shared" si="7"/>
        <v>Medium</v>
      </c>
      <c r="M222" t="s">
        <v>40</v>
      </c>
      <c r="N222" t="s">
        <v>49</v>
      </c>
      <c r="O222">
        <v>270.54000000000002</v>
      </c>
      <c r="P222">
        <v>501.87</v>
      </c>
      <c r="Q222" t="s">
        <v>70</v>
      </c>
      <c r="R222">
        <v>21.4</v>
      </c>
    </row>
    <row r="223" spans="1:18" x14ac:dyDescent="0.25">
      <c r="A223" t="s">
        <v>288</v>
      </c>
      <c r="B223" s="1">
        <v>43952</v>
      </c>
      <c r="C223">
        <v>2020</v>
      </c>
      <c r="D223" t="s">
        <v>25</v>
      </c>
      <c r="E223" t="str">
        <f t="shared" si="6"/>
        <v>North</v>
      </c>
      <c r="F223" t="s">
        <v>87</v>
      </c>
      <c r="G223" t="s">
        <v>19</v>
      </c>
      <c r="H223" t="s">
        <v>56</v>
      </c>
      <c r="I223">
        <v>6.13</v>
      </c>
      <c r="J223">
        <v>29.14</v>
      </c>
      <c r="K223">
        <v>4753.63</v>
      </c>
      <c r="L223" t="str">
        <f t="shared" si="7"/>
        <v>Medium</v>
      </c>
      <c r="M223" t="s">
        <v>40</v>
      </c>
      <c r="N223" t="s">
        <v>22</v>
      </c>
      <c r="O223">
        <v>157.31</v>
      </c>
      <c r="P223">
        <v>291.2</v>
      </c>
      <c r="Q223" t="s">
        <v>23</v>
      </c>
      <c r="R223">
        <v>20.02</v>
      </c>
    </row>
    <row r="224" spans="1:18" x14ac:dyDescent="0.25">
      <c r="A224" t="s">
        <v>289</v>
      </c>
      <c r="B224" s="1">
        <v>41395</v>
      </c>
      <c r="C224">
        <v>2013</v>
      </c>
      <c r="D224" t="s">
        <v>103</v>
      </c>
      <c r="E224" t="str">
        <f t="shared" si="6"/>
        <v>North</v>
      </c>
      <c r="F224" t="s">
        <v>228</v>
      </c>
      <c r="G224" t="s">
        <v>19</v>
      </c>
      <c r="H224" t="s">
        <v>39</v>
      </c>
      <c r="I224">
        <v>45.06</v>
      </c>
      <c r="J224">
        <v>47.24</v>
      </c>
      <c r="K224">
        <v>1048.3800000000001</v>
      </c>
      <c r="L224" t="str">
        <f t="shared" si="7"/>
        <v>Low</v>
      </c>
      <c r="M224" t="s">
        <v>34</v>
      </c>
      <c r="N224" t="s">
        <v>22</v>
      </c>
      <c r="O224">
        <v>254.28</v>
      </c>
      <c r="P224">
        <v>1188.1500000000001</v>
      </c>
      <c r="Q224" t="s">
        <v>52</v>
      </c>
      <c r="R224">
        <v>30.41</v>
      </c>
    </row>
    <row r="225" spans="1:18" x14ac:dyDescent="0.25">
      <c r="A225" t="s">
        <v>290</v>
      </c>
      <c r="B225" s="1">
        <v>40677</v>
      </c>
      <c r="C225">
        <v>2011</v>
      </c>
      <c r="D225" t="s">
        <v>103</v>
      </c>
      <c r="E225" t="str">
        <f t="shared" si="6"/>
        <v>North</v>
      </c>
      <c r="F225" t="s">
        <v>107</v>
      </c>
      <c r="G225" t="s">
        <v>19</v>
      </c>
      <c r="H225" t="s">
        <v>64</v>
      </c>
      <c r="I225">
        <v>11.22</v>
      </c>
      <c r="J225">
        <v>35.96</v>
      </c>
      <c r="K225">
        <v>3205.37</v>
      </c>
      <c r="L225" t="str">
        <f t="shared" si="7"/>
        <v>Medium</v>
      </c>
      <c r="M225" t="s">
        <v>34</v>
      </c>
      <c r="N225" t="s">
        <v>41</v>
      </c>
      <c r="O225">
        <v>84.28</v>
      </c>
      <c r="P225">
        <v>973.46</v>
      </c>
      <c r="Q225" t="s">
        <v>42</v>
      </c>
      <c r="R225">
        <v>29.62</v>
      </c>
    </row>
    <row r="226" spans="1:18" x14ac:dyDescent="0.25">
      <c r="A226" t="s">
        <v>291</v>
      </c>
      <c r="B226" s="1">
        <v>43730</v>
      </c>
      <c r="C226">
        <v>2019</v>
      </c>
      <c r="D226" t="s">
        <v>25</v>
      </c>
      <c r="E226" t="str">
        <f t="shared" si="6"/>
        <v>North</v>
      </c>
      <c r="F226" t="s">
        <v>69</v>
      </c>
      <c r="G226" t="s">
        <v>33</v>
      </c>
      <c r="H226" t="s">
        <v>27</v>
      </c>
      <c r="I226">
        <v>65.349999999999994</v>
      </c>
      <c r="J226">
        <v>237.91</v>
      </c>
      <c r="K226">
        <v>3640.6</v>
      </c>
      <c r="L226" t="str">
        <f t="shared" si="7"/>
        <v>Medium</v>
      </c>
      <c r="M226" t="s">
        <v>40</v>
      </c>
      <c r="N226" t="s">
        <v>41</v>
      </c>
      <c r="O226">
        <v>207.02</v>
      </c>
      <c r="P226">
        <v>351.37</v>
      </c>
      <c r="Q226" t="s">
        <v>52</v>
      </c>
      <c r="R226">
        <v>29.24</v>
      </c>
    </row>
    <row r="227" spans="1:18" x14ac:dyDescent="0.25">
      <c r="A227" t="s">
        <v>292</v>
      </c>
      <c r="B227" s="1">
        <v>41124</v>
      </c>
      <c r="C227">
        <v>2012</v>
      </c>
      <c r="D227" t="s">
        <v>25</v>
      </c>
      <c r="E227" t="str">
        <f t="shared" si="6"/>
        <v>North</v>
      </c>
      <c r="F227" t="s">
        <v>26</v>
      </c>
      <c r="G227" t="s">
        <v>33</v>
      </c>
      <c r="H227" t="s">
        <v>27</v>
      </c>
      <c r="I227">
        <v>73.27</v>
      </c>
      <c r="J227">
        <v>227.81</v>
      </c>
      <c r="K227">
        <v>3109.21</v>
      </c>
      <c r="L227" t="str">
        <f t="shared" si="7"/>
        <v>Medium</v>
      </c>
      <c r="M227" t="s">
        <v>28</v>
      </c>
      <c r="N227" t="s">
        <v>47</v>
      </c>
      <c r="O227">
        <v>128.63</v>
      </c>
      <c r="P227">
        <v>339.83</v>
      </c>
      <c r="Q227" t="s">
        <v>70</v>
      </c>
      <c r="R227">
        <v>29.67</v>
      </c>
    </row>
    <row r="228" spans="1:18" x14ac:dyDescent="0.25">
      <c r="A228" t="s">
        <v>293</v>
      </c>
      <c r="B228" s="1">
        <v>44305</v>
      </c>
      <c r="C228">
        <v>2021</v>
      </c>
      <c r="D228" t="s">
        <v>59</v>
      </c>
      <c r="E228" t="str">
        <f t="shared" si="6"/>
        <v>East</v>
      </c>
      <c r="F228" t="s">
        <v>93</v>
      </c>
      <c r="G228" t="s">
        <v>19</v>
      </c>
      <c r="H228" t="s">
        <v>20</v>
      </c>
      <c r="I228">
        <v>78.12</v>
      </c>
      <c r="J228">
        <v>401.76</v>
      </c>
      <c r="K228">
        <v>5142.8599999999997</v>
      </c>
      <c r="L228" t="str">
        <f t="shared" si="7"/>
        <v>High</v>
      </c>
      <c r="M228" t="s">
        <v>34</v>
      </c>
      <c r="N228" t="s">
        <v>22</v>
      </c>
      <c r="O228">
        <v>101.36</v>
      </c>
      <c r="P228">
        <v>806.93</v>
      </c>
      <c r="Q228" t="s">
        <v>42</v>
      </c>
      <c r="R228">
        <v>31.22</v>
      </c>
    </row>
    <row r="229" spans="1:18" x14ac:dyDescent="0.25">
      <c r="A229" t="s">
        <v>294</v>
      </c>
      <c r="B229" s="1">
        <v>43073</v>
      </c>
      <c r="C229">
        <v>2017</v>
      </c>
      <c r="D229" t="s">
        <v>44</v>
      </c>
      <c r="E229" t="str">
        <f t="shared" si="6"/>
        <v>East</v>
      </c>
      <c r="F229" t="s">
        <v>45</v>
      </c>
      <c r="G229" t="s">
        <v>38</v>
      </c>
      <c r="H229" t="s">
        <v>64</v>
      </c>
      <c r="I229">
        <v>24.87</v>
      </c>
      <c r="J229">
        <v>120.08</v>
      </c>
      <c r="K229">
        <v>4828.49</v>
      </c>
      <c r="L229" t="str">
        <f t="shared" si="7"/>
        <v>Medium</v>
      </c>
      <c r="M229" t="s">
        <v>21</v>
      </c>
      <c r="N229" t="s">
        <v>29</v>
      </c>
      <c r="O229">
        <v>182.07</v>
      </c>
      <c r="P229">
        <v>1177.7</v>
      </c>
      <c r="Q229" t="s">
        <v>70</v>
      </c>
      <c r="R229">
        <v>34.01</v>
      </c>
    </row>
    <row r="230" spans="1:18" x14ac:dyDescent="0.25">
      <c r="A230" t="s">
        <v>295</v>
      </c>
      <c r="B230" s="1">
        <v>42690</v>
      </c>
      <c r="C230">
        <v>2016</v>
      </c>
      <c r="D230" t="s">
        <v>44</v>
      </c>
      <c r="E230" t="str">
        <f t="shared" si="6"/>
        <v>East</v>
      </c>
      <c r="F230" t="s">
        <v>67</v>
      </c>
      <c r="G230" t="s">
        <v>38</v>
      </c>
      <c r="H230" t="s">
        <v>27</v>
      </c>
      <c r="I230">
        <v>68.61</v>
      </c>
      <c r="J230">
        <v>382.59</v>
      </c>
      <c r="K230">
        <v>5576.36</v>
      </c>
      <c r="L230" t="str">
        <f t="shared" si="7"/>
        <v>High</v>
      </c>
      <c r="M230" t="s">
        <v>21</v>
      </c>
      <c r="N230" t="s">
        <v>29</v>
      </c>
      <c r="O230">
        <v>54.17</v>
      </c>
      <c r="P230">
        <v>267.52999999999997</v>
      </c>
      <c r="Q230" t="s">
        <v>70</v>
      </c>
      <c r="R230">
        <v>23.24</v>
      </c>
    </row>
    <row r="231" spans="1:18" x14ac:dyDescent="0.25">
      <c r="A231" t="s">
        <v>296</v>
      </c>
      <c r="B231" s="1">
        <v>43927</v>
      </c>
      <c r="C231">
        <v>2020</v>
      </c>
      <c r="D231" t="s">
        <v>59</v>
      </c>
      <c r="E231" t="str">
        <f t="shared" si="6"/>
        <v>East</v>
      </c>
      <c r="F231" t="s">
        <v>63</v>
      </c>
      <c r="G231" t="s">
        <v>19</v>
      </c>
      <c r="H231" t="s">
        <v>27</v>
      </c>
      <c r="I231">
        <v>76.94</v>
      </c>
      <c r="J231">
        <v>272.48</v>
      </c>
      <c r="K231">
        <v>3541.45</v>
      </c>
      <c r="L231" t="str">
        <f t="shared" si="7"/>
        <v>Medium</v>
      </c>
      <c r="M231" t="s">
        <v>28</v>
      </c>
      <c r="N231" t="s">
        <v>49</v>
      </c>
      <c r="O231">
        <v>70.61</v>
      </c>
      <c r="P231">
        <v>736.56</v>
      </c>
      <c r="Q231" t="s">
        <v>61</v>
      </c>
      <c r="R231">
        <v>22.29</v>
      </c>
    </row>
    <row r="232" spans="1:18" x14ac:dyDescent="0.25">
      <c r="A232" t="s">
        <v>297</v>
      </c>
      <c r="B232" s="1">
        <v>41448</v>
      </c>
      <c r="C232">
        <v>2013</v>
      </c>
      <c r="D232" t="s">
        <v>25</v>
      </c>
      <c r="E232" t="str">
        <f t="shared" si="6"/>
        <v>North</v>
      </c>
      <c r="F232" t="s">
        <v>69</v>
      </c>
      <c r="G232" t="s">
        <v>33</v>
      </c>
      <c r="H232" t="s">
        <v>27</v>
      </c>
      <c r="I232">
        <v>33.35</v>
      </c>
      <c r="J232">
        <v>150.69999999999999</v>
      </c>
      <c r="K232">
        <v>4518.62</v>
      </c>
      <c r="L232" t="str">
        <f t="shared" si="7"/>
        <v>Medium</v>
      </c>
      <c r="M232" t="s">
        <v>21</v>
      </c>
      <c r="N232" t="s">
        <v>29</v>
      </c>
      <c r="O232">
        <v>127.54</v>
      </c>
      <c r="P232">
        <v>637.49</v>
      </c>
      <c r="Q232" t="s">
        <v>42</v>
      </c>
      <c r="R232">
        <v>20.87</v>
      </c>
    </row>
    <row r="233" spans="1:18" x14ac:dyDescent="0.25">
      <c r="A233" t="s">
        <v>298</v>
      </c>
      <c r="B233" s="1">
        <v>43616</v>
      </c>
      <c r="C233">
        <v>2019</v>
      </c>
      <c r="D233" t="s">
        <v>25</v>
      </c>
      <c r="E233" t="str">
        <f t="shared" si="6"/>
        <v>North</v>
      </c>
      <c r="F233" t="s">
        <v>87</v>
      </c>
      <c r="G233" t="s">
        <v>19</v>
      </c>
      <c r="H233" t="s">
        <v>64</v>
      </c>
      <c r="I233">
        <v>31.62</v>
      </c>
      <c r="J233">
        <v>172.33</v>
      </c>
      <c r="K233">
        <v>5450.16</v>
      </c>
      <c r="L233" t="str">
        <f t="shared" si="7"/>
        <v>High</v>
      </c>
      <c r="M233" t="s">
        <v>40</v>
      </c>
      <c r="N233" t="s">
        <v>49</v>
      </c>
      <c r="O233">
        <v>79.86</v>
      </c>
      <c r="P233">
        <v>907.9</v>
      </c>
      <c r="Q233" t="s">
        <v>23</v>
      </c>
      <c r="R233">
        <v>22.46</v>
      </c>
    </row>
    <row r="234" spans="1:18" x14ac:dyDescent="0.25">
      <c r="A234" t="s">
        <v>299</v>
      </c>
      <c r="B234" s="1">
        <v>44679</v>
      </c>
      <c r="C234">
        <v>2022</v>
      </c>
      <c r="D234" t="s">
        <v>59</v>
      </c>
      <c r="E234" t="str">
        <f t="shared" si="6"/>
        <v>East</v>
      </c>
      <c r="F234" t="s">
        <v>93</v>
      </c>
      <c r="G234" t="s">
        <v>19</v>
      </c>
      <c r="H234" t="s">
        <v>20</v>
      </c>
      <c r="I234">
        <v>17.53</v>
      </c>
      <c r="J234">
        <v>30.88</v>
      </c>
      <c r="K234">
        <v>1761.58</v>
      </c>
      <c r="L234" t="str">
        <f t="shared" si="7"/>
        <v>Low</v>
      </c>
      <c r="M234" t="s">
        <v>34</v>
      </c>
      <c r="N234" t="s">
        <v>49</v>
      </c>
      <c r="O234">
        <v>233.23</v>
      </c>
      <c r="P234">
        <v>318.06</v>
      </c>
      <c r="Q234" t="s">
        <v>23</v>
      </c>
      <c r="R234">
        <v>25.03</v>
      </c>
    </row>
    <row r="235" spans="1:18" x14ac:dyDescent="0.25">
      <c r="A235" t="s">
        <v>300</v>
      </c>
      <c r="B235" s="1">
        <v>41746</v>
      </c>
      <c r="C235">
        <v>2014</v>
      </c>
      <c r="D235" t="s">
        <v>59</v>
      </c>
      <c r="E235" t="str">
        <f t="shared" si="6"/>
        <v>East</v>
      </c>
      <c r="F235" t="s">
        <v>60</v>
      </c>
      <c r="G235" t="s">
        <v>19</v>
      </c>
      <c r="H235" t="s">
        <v>27</v>
      </c>
      <c r="I235">
        <v>63.13</v>
      </c>
      <c r="J235">
        <v>251.06</v>
      </c>
      <c r="K235">
        <v>3976.89</v>
      </c>
      <c r="L235" t="str">
        <f t="shared" si="7"/>
        <v>Medium</v>
      </c>
      <c r="M235" t="s">
        <v>34</v>
      </c>
      <c r="N235" t="s">
        <v>22</v>
      </c>
      <c r="O235">
        <v>63.86</v>
      </c>
      <c r="P235">
        <v>1059.3599999999999</v>
      </c>
      <c r="Q235" t="s">
        <v>42</v>
      </c>
      <c r="R235">
        <v>25.52</v>
      </c>
    </row>
    <row r="236" spans="1:18" x14ac:dyDescent="0.25">
      <c r="A236" t="s">
        <v>301</v>
      </c>
      <c r="B236" s="1">
        <v>44393</v>
      </c>
      <c r="C236">
        <v>2021</v>
      </c>
      <c r="D236" t="s">
        <v>59</v>
      </c>
      <c r="E236" t="str">
        <f t="shared" si="6"/>
        <v>East</v>
      </c>
      <c r="F236" t="s">
        <v>93</v>
      </c>
      <c r="G236" t="s">
        <v>33</v>
      </c>
      <c r="H236" t="s">
        <v>56</v>
      </c>
      <c r="I236">
        <v>74.34</v>
      </c>
      <c r="J236">
        <v>75.489999999999995</v>
      </c>
      <c r="K236">
        <v>1015.41</v>
      </c>
      <c r="L236" t="str">
        <f t="shared" si="7"/>
        <v>Low</v>
      </c>
      <c r="M236" t="s">
        <v>21</v>
      </c>
      <c r="N236" t="s">
        <v>22</v>
      </c>
      <c r="O236">
        <v>111.14</v>
      </c>
      <c r="P236">
        <v>671.76</v>
      </c>
      <c r="Q236" t="s">
        <v>52</v>
      </c>
      <c r="R236">
        <v>33.799999999999997</v>
      </c>
    </row>
    <row r="237" spans="1:18" x14ac:dyDescent="0.25">
      <c r="A237" t="s">
        <v>302</v>
      </c>
      <c r="B237" s="1">
        <v>44330</v>
      </c>
      <c r="C237">
        <v>2021</v>
      </c>
      <c r="D237" t="s">
        <v>59</v>
      </c>
      <c r="E237" t="str">
        <f t="shared" si="6"/>
        <v>East</v>
      </c>
      <c r="F237" t="s">
        <v>93</v>
      </c>
      <c r="G237" t="s">
        <v>19</v>
      </c>
      <c r="H237" t="s">
        <v>46</v>
      </c>
      <c r="I237">
        <v>23.23</v>
      </c>
      <c r="J237">
        <v>57.83</v>
      </c>
      <c r="K237">
        <v>2489.58</v>
      </c>
      <c r="L237" t="str">
        <f t="shared" si="7"/>
        <v>Low</v>
      </c>
      <c r="M237" t="s">
        <v>34</v>
      </c>
      <c r="N237" t="s">
        <v>22</v>
      </c>
      <c r="O237">
        <v>117.81</v>
      </c>
      <c r="P237">
        <v>277.89</v>
      </c>
      <c r="Q237" t="s">
        <v>70</v>
      </c>
      <c r="R237">
        <v>21.79</v>
      </c>
    </row>
    <row r="238" spans="1:18" x14ac:dyDescent="0.25">
      <c r="A238" t="s">
        <v>303</v>
      </c>
      <c r="B238" s="1">
        <v>44687</v>
      </c>
      <c r="C238">
        <v>2022</v>
      </c>
      <c r="D238" t="s">
        <v>103</v>
      </c>
      <c r="E238" t="str">
        <f t="shared" si="6"/>
        <v>North</v>
      </c>
      <c r="F238" t="s">
        <v>104</v>
      </c>
      <c r="G238" t="s">
        <v>19</v>
      </c>
      <c r="H238" t="s">
        <v>64</v>
      </c>
      <c r="I238">
        <v>95.45</v>
      </c>
      <c r="J238">
        <v>134.91999999999999</v>
      </c>
      <c r="K238">
        <v>1413.56</v>
      </c>
      <c r="L238" t="str">
        <f t="shared" si="7"/>
        <v>Low</v>
      </c>
      <c r="M238" t="s">
        <v>28</v>
      </c>
      <c r="N238" t="s">
        <v>29</v>
      </c>
      <c r="O238">
        <v>266.51</v>
      </c>
      <c r="P238">
        <v>973.53</v>
      </c>
      <c r="Q238" t="s">
        <v>70</v>
      </c>
      <c r="R238">
        <v>24.91</v>
      </c>
    </row>
    <row r="239" spans="1:18" x14ac:dyDescent="0.25">
      <c r="A239" t="s">
        <v>304</v>
      </c>
      <c r="B239" s="1">
        <v>41629</v>
      </c>
      <c r="C239">
        <v>2013</v>
      </c>
      <c r="D239" t="s">
        <v>25</v>
      </c>
      <c r="E239" t="str">
        <f t="shared" si="6"/>
        <v>North</v>
      </c>
      <c r="F239" t="s">
        <v>87</v>
      </c>
      <c r="G239" t="s">
        <v>38</v>
      </c>
      <c r="H239" t="s">
        <v>27</v>
      </c>
      <c r="I239">
        <v>78.67</v>
      </c>
      <c r="J239">
        <v>427.76</v>
      </c>
      <c r="K239">
        <v>5437.46</v>
      </c>
      <c r="L239" t="str">
        <f t="shared" si="7"/>
        <v>High</v>
      </c>
      <c r="M239" t="s">
        <v>40</v>
      </c>
      <c r="N239" t="s">
        <v>47</v>
      </c>
      <c r="O239">
        <v>165.98</v>
      </c>
      <c r="P239">
        <v>791.69</v>
      </c>
      <c r="Q239" t="s">
        <v>52</v>
      </c>
      <c r="R239">
        <v>34.97</v>
      </c>
    </row>
    <row r="240" spans="1:18" x14ac:dyDescent="0.25">
      <c r="A240" t="s">
        <v>305</v>
      </c>
      <c r="B240" s="1">
        <v>41139</v>
      </c>
      <c r="C240">
        <v>2012</v>
      </c>
      <c r="D240" t="s">
        <v>44</v>
      </c>
      <c r="E240" t="str">
        <f t="shared" si="6"/>
        <v>East</v>
      </c>
      <c r="F240" t="s">
        <v>45</v>
      </c>
      <c r="G240" t="s">
        <v>33</v>
      </c>
      <c r="H240" t="s">
        <v>46</v>
      </c>
      <c r="I240">
        <v>3.37</v>
      </c>
      <c r="J240">
        <v>14.32</v>
      </c>
      <c r="K240">
        <v>4249.2700000000004</v>
      </c>
      <c r="L240" t="str">
        <f t="shared" si="7"/>
        <v>Medium</v>
      </c>
      <c r="M240" t="s">
        <v>21</v>
      </c>
      <c r="N240" t="s">
        <v>22</v>
      </c>
      <c r="O240">
        <v>287.75</v>
      </c>
      <c r="P240">
        <v>201.46</v>
      </c>
      <c r="Q240" t="s">
        <v>52</v>
      </c>
      <c r="R240">
        <v>32.74</v>
      </c>
    </row>
    <row r="241" spans="1:18" x14ac:dyDescent="0.25">
      <c r="A241" t="s">
        <v>306</v>
      </c>
      <c r="B241" s="1">
        <v>41712</v>
      </c>
      <c r="C241">
        <v>2013</v>
      </c>
      <c r="D241" t="s">
        <v>103</v>
      </c>
      <c r="E241" t="str">
        <f t="shared" si="6"/>
        <v>North</v>
      </c>
      <c r="F241" t="s">
        <v>228</v>
      </c>
      <c r="G241" t="s">
        <v>38</v>
      </c>
      <c r="H241" t="s">
        <v>46</v>
      </c>
      <c r="I241">
        <v>96.16</v>
      </c>
      <c r="J241">
        <v>657.29</v>
      </c>
      <c r="K241">
        <v>6835.36</v>
      </c>
      <c r="L241" t="str">
        <f t="shared" si="7"/>
        <v>High</v>
      </c>
      <c r="M241" t="s">
        <v>40</v>
      </c>
      <c r="N241" t="s">
        <v>29</v>
      </c>
      <c r="O241">
        <v>227.91</v>
      </c>
      <c r="P241">
        <v>293.02999999999997</v>
      </c>
      <c r="Q241" t="s">
        <v>42</v>
      </c>
      <c r="R241">
        <v>33.46</v>
      </c>
    </row>
    <row r="242" spans="1:18" x14ac:dyDescent="0.25">
      <c r="A242" t="s">
        <v>307</v>
      </c>
      <c r="B242" s="1">
        <v>42834</v>
      </c>
      <c r="C242">
        <v>2017</v>
      </c>
      <c r="D242" t="s">
        <v>17</v>
      </c>
      <c r="E242" t="str">
        <f t="shared" si="6"/>
        <v>North</v>
      </c>
      <c r="F242" t="s">
        <v>72</v>
      </c>
      <c r="G242" t="s">
        <v>19</v>
      </c>
      <c r="H242" t="s">
        <v>64</v>
      </c>
      <c r="I242">
        <v>58.5</v>
      </c>
      <c r="J242">
        <v>235.91</v>
      </c>
      <c r="K242">
        <v>4032.57</v>
      </c>
      <c r="L242" t="str">
        <f t="shared" si="7"/>
        <v>Medium</v>
      </c>
      <c r="M242" t="s">
        <v>28</v>
      </c>
      <c r="N242" t="s">
        <v>41</v>
      </c>
      <c r="O242">
        <v>68.709999999999994</v>
      </c>
      <c r="P242">
        <v>767.82</v>
      </c>
      <c r="Q242" t="s">
        <v>52</v>
      </c>
      <c r="R242">
        <v>29.94</v>
      </c>
    </row>
    <row r="243" spans="1:18" x14ac:dyDescent="0.25">
      <c r="A243" t="s">
        <v>308</v>
      </c>
      <c r="B243" s="1">
        <v>42458</v>
      </c>
      <c r="C243">
        <v>2015</v>
      </c>
      <c r="D243" t="s">
        <v>31</v>
      </c>
      <c r="E243" t="str">
        <f t="shared" si="6"/>
        <v>West</v>
      </c>
      <c r="F243" t="s">
        <v>32</v>
      </c>
      <c r="G243" t="s">
        <v>38</v>
      </c>
      <c r="H243" t="s">
        <v>39</v>
      </c>
      <c r="I243">
        <v>83.36</v>
      </c>
      <c r="J243">
        <v>246.54</v>
      </c>
      <c r="K243">
        <v>2957.51</v>
      </c>
      <c r="L243" t="str">
        <f t="shared" si="7"/>
        <v>Low</v>
      </c>
      <c r="M243" t="s">
        <v>28</v>
      </c>
      <c r="N243" t="s">
        <v>22</v>
      </c>
      <c r="O243">
        <v>117.99</v>
      </c>
      <c r="P243">
        <v>274.69</v>
      </c>
      <c r="Q243" t="s">
        <v>42</v>
      </c>
      <c r="R243">
        <v>22.04</v>
      </c>
    </row>
    <row r="244" spans="1:18" x14ac:dyDescent="0.25">
      <c r="A244" t="s">
        <v>309</v>
      </c>
      <c r="B244" s="1">
        <v>41244</v>
      </c>
      <c r="C244">
        <v>2012</v>
      </c>
      <c r="D244" t="s">
        <v>103</v>
      </c>
      <c r="E244" t="str">
        <f t="shared" si="6"/>
        <v>North</v>
      </c>
      <c r="F244" t="s">
        <v>104</v>
      </c>
      <c r="G244" t="s">
        <v>38</v>
      </c>
      <c r="H244" t="s">
        <v>46</v>
      </c>
      <c r="I244">
        <v>32.090000000000003</v>
      </c>
      <c r="J244">
        <v>55.34</v>
      </c>
      <c r="K244">
        <v>1724.42</v>
      </c>
      <c r="L244" t="str">
        <f t="shared" si="7"/>
        <v>Low</v>
      </c>
      <c r="M244" t="s">
        <v>34</v>
      </c>
      <c r="N244" t="s">
        <v>22</v>
      </c>
      <c r="O244">
        <v>291.16000000000003</v>
      </c>
      <c r="P244">
        <v>407.64</v>
      </c>
      <c r="Q244" t="s">
        <v>70</v>
      </c>
      <c r="R244">
        <v>26.95</v>
      </c>
    </row>
    <row r="245" spans="1:18" x14ac:dyDescent="0.25">
      <c r="A245" t="s">
        <v>310</v>
      </c>
      <c r="B245" s="1">
        <v>41733</v>
      </c>
      <c r="C245">
        <v>2014</v>
      </c>
      <c r="D245" t="s">
        <v>103</v>
      </c>
      <c r="E245" t="str">
        <f t="shared" si="6"/>
        <v>North</v>
      </c>
      <c r="F245" t="s">
        <v>228</v>
      </c>
      <c r="G245" t="s">
        <v>19</v>
      </c>
      <c r="H245" t="s">
        <v>39</v>
      </c>
      <c r="I245">
        <v>60.73</v>
      </c>
      <c r="J245">
        <v>139.08000000000001</v>
      </c>
      <c r="K245">
        <v>2290.12</v>
      </c>
      <c r="L245" t="str">
        <f t="shared" si="7"/>
        <v>Low</v>
      </c>
      <c r="M245" t="s">
        <v>34</v>
      </c>
      <c r="N245" t="s">
        <v>49</v>
      </c>
      <c r="O245">
        <v>87.08</v>
      </c>
      <c r="P245">
        <v>911.16</v>
      </c>
      <c r="Q245" t="s">
        <v>70</v>
      </c>
      <c r="R245">
        <v>25.94</v>
      </c>
    </row>
    <row r="246" spans="1:18" x14ac:dyDescent="0.25">
      <c r="A246" t="s">
        <v>311</v>
      </c>
      <c r="B246" s="1">
        <v>40498</v>
      </c>
      <c r="C246">
        <v>2010</v>
      </c>
      <c r="D246" t="s">
        <v>31</v>
      </c>
      <c r="E246" t="str">
        <f t="shared" si="6"/>
        <v>West</v>
      </c>
      <c r="F246" t="s">
        <v>82</v>
      </c>
      <c r="G246" t="s">
        <v>38</v>
      </c>
      <c r="H246" t="s">
        <v>46</v>
      </c>
      <c r="I246">
        <v>56.04</v>
      </c>
      <c r="J246">
        <v>241.01</v>
      </c>
      <c r="K246">
        <v>4300.7299999999996</v>
      </c>
      <c r="L246" t="str">
        <f t="shared" si="7"/>
        <v>Medium</v>
      </c>
      <c r="M246" t="s">
        <v>21</v>
      </c>
      <c r="N246" t="s">
        <v>41</v>
      </c>
      <c r="O246">
        <v>165.51</v>
      </c>
      <c r="P246">
        <v>1003.9</v>
      </c>
      <c r="Q246" t="s">
        <v>42</v>
      </c>
      <c r="R246">
        <v>21.82</v>
      </c>
    </row>
    <row r="247" spans="1:18" x14ac:dyDescent="0.25">
      <c r="A247" t="s">
        <v>312</v>
      </c>
      <c r="B247" s="1">
        <v>42788</v>
      </c>
      <c r="C247">
        <v>2016</v>
      </c>
      <c r="D247" t="s">
        <v>103</v>
      </c>
      <c r="E247" t="str">
        <f t="shared" si="6"/>
        <v>North</v>
      </c>
      <c r="F247" t="s">
        <v>104</v>
      </c>
      <c r="G247" t="s">
        <v>38</v>
      </c>
      <c r="H247" t="s">
        <v>39</v>
      </c>
      <c r="I247">
        <v>63.4</v>
      </c>
      <c r="J247">
        <v>308.64</v>
      </c>
      <c r="K247">
        <v>4868.1099999999997</v>
      </c>
      <c r="L247" t="str">
        <f t="shared" si="7"/>
        <v>Medium</v>
      </c>
      <c r="M247" t="s">
        <v>34</v>
      </c>
      <c r="N247" t="s">
        <v>41</v>
      </c>
      <c r="O247">
        <v>279.36</v>
      </c>
      <c r="P247">
        <v>274.99</v>
      </c>
      <c r="Q247" t="s">
        <v>23</v>
      </c>
      <c r="R247">
        <v>22.97</v>
      </c>
    </row>
    <row r="248" spans="1:18" x14ac:dyDescent="0.25">
      <c r="A248" t="s">
        <v>313</v>
      </c>
      <c r="B248" s="1">
        <v>40804</v>
      </c>
      <c r="C248">
        <v>2011</v>
      </c>
      <c r="D248" t="s">
        <v>25</v>
      </c>
      <c r="E248" t="str">
        <f t="shared" si="6"/>
        <v>North</v>
      </c>
      <c r="F248" t="s">
        <v>87</v>
      </c>
      <c r="G248" t="s">
        <v>33</v>
      </c>
      <c r="H248" t="s">
        <v>46</v>
      </c>
      <c r="I248">
        <v>6.01</v>
      </c>
      <c r="J248">
        <v>39.33</v>
      </c>
      <c r="K248">
        <v>6544.79</v>
      </c>
      <c r="L248" t="str">
        <f t="shared" si="7"/>
        <v>High</v>
      </c>
      <c r="M248" t="s">
        <v>28</v>
      </c>
      <c r="N248" t="s">
        <v>41</v>
      </c>
      <c r="O248">
        <v>255.42</v>
      </c>
      <c r="P248">
        <v>595</v>
      </c>
      <c r="Q248" t="s">
        <v>23</v>
      </c>
      <c r="R248">
        <v>25.74</v>
      </c>
    </row>
    <row r="249" spans="1:18" x14ac:dyDescent="0.25">
      <c r="A249" t="s">
        <v>314</v>
      </c>
      <c r="B249" s="1">
        <v>41236</v>
      </c>
      <c r="C249">
        <v>2012</v>
      </c>
      <c r="D249" t="s">
        <v>31</v>
      </c>
      <c r="E249" t="str">
        <f t="shared" si="6"/>
        <v>West</v>
      </c>
      <c r="F249" t="s">
        <v>82</v>
      </c>
      <c r="G249" t="s">
        <v>38</v>
      </c>
      <c r="H249" t="s">
        <v>20</v>
      </c>
      <c r="I249">
        <v>45.16</v>
      </c>
      <c r="J249">
        <v>85.43</v>
      </c>
      <c r="K249">
        <v>1891.79</v>
      </c>
      <c r="L249" t="str">
        <f t="shared" si="7"/>
        <v>Low</v>
      </c>
      <c r="M249" t="s">
        <v>40</v>
      </c>
      <c r="N249" t="s">
        <v>49</v>
      </c>
      <c r="O249">
        <v>211.82</v>
      </c>
      <c r="P249">
        <v>698.89</v>
      </c>
      <c r="Q249" t="s">
        <v>61</v>
      </c>
      <c r="R249">
        <v>27.19</v>
      </c>
    </row>
    <row r="250" spans="1:18" x14ac:dyDescent="0.25">
      <c r="A250" t="s">
        <v>315</v>
      </c>
      <c r="B250" s="1">
        <v>42646</v>
      </c>
      <c r="C250">
        <v>2016</v>
      </c>
      <c r="D250" t="s">
        <v>36</v>
      </c>
      <c r="E250" t="str">
        <f t="shared" si="6"/>
        <v>South</v>
      </c>
      <c r="F250" t="s">
        <v>37</v>
      </c>
      <c r="G250" t="s">
        <v>33</v>
      </c>
      <c r="H250" t="s">
        <v>39</v>
      </c>
      <c r="I250">
        <v>88.58</v>
      </c>
      <c r="J250">
        <v>368.04</v>
      </c>
      <c r="K250">
        <v>4154.88</v>
      </c>
      <c r="L250" t="str">
        <f t="shared" si="7"/>
        <v>Medium</v>
      </c>
      <c r="M250" t="s">
        <v>21</v>
      </c>
      <c r="N250" t="s">
        <v>49</v>
      </c>
      <c r="O250">
        <v>297.35000000000002</v>
      </c>
      <c r="P250">
        <v>981.92</v>
      </c>
      <c r="Q250" t="s">
        <v>70</v>
      </c>
      <c r="R250">
        <v>27.2</v>
      </c>
    </row>
    <row r="251" spans="1:18" x14ac:dyDescent="0.25">
      <c r="A251" t="s">
        <v>316</v>
      </c>
      <c r="B251" s="1">
        <v>42429</v>
      </c>
      <c r="C251">
        <v>2015</v>
      </c>
      <c r="D251" t="s">
        <v>59</v>
      </c>
      <c r="E251" t="str">
        <f t="shared" si="6"/>
        <v>East</v>
      </c>
      <c r="F251" t="s">
        <v>93</v>
      </c>
      <c r="G251" t="s">
        <v>38</v>
      </c>
      <c r="H251" t="s">
        <v>20</v>
      </c>
      <c r="I251">
        <v>18.8</v>
      </c>
      <c r="J251">
        <v>54.77</v>
      </c>
      <c r="K251">
        <v>2913.27</v>
      </c>
      <c r="L251" t="str">
        <f t="shared" si="7"/>
        <v>Low</v>
      </c>
      <c r="M251" t="s">
        <v>40</v>
      </c>
      <c r="N251" t="s">
        <v>47</v>
      </c>
      <c r="O251">
        <v>57.33</v>
      </c>
      <c r="P251">
        <v>1010.69</v>
      </c>
      <c r="Q251" t="s">
        <v>70</v>
      </c>
      <c r="R251">
        <v>20.88</v>
      </c>
    </row>
    <row r="252" spans="1:18" x14ac:dyDescent="0.25">
      <c r="A252" t="s">
        <v>317</v>
      </c>
      <c r="B252" s="1">
        <v>41525</v>
      </c>
      <c r="C252">
        <v>2013</v>
      </c>
      <c r="D252" t="s">
        <v>31</v>
      </c>
      <c r="E252" t="str">
        <f t="shared" si="6"/>
        <v>West</v>
      </c>
      <c r="F252" t="s">
        <v>117</v>
      </c>
      <c r="G252" t="s">
        <v>33</v>
      </c>
      <c r="H252" t="s">
        <v>64</v>
      </c>
      <c r="I252">
        <v>25.54</v>
      </c>
      <c r="J252">
        <v>62.49</v>
      </c>
      <c r="K252">
        <v>2446.92</v>
      </c>
      <c r="L252" t="str">
        <f t="shared" si="7"/>
        <v>Low</v>
      </c>
      <c r="M252" t="s">
        <v>21</v>
      </c>
      <c r="N252" t="s">
        <v>49</v>
      </c>
      <c r="O252">
        <v>241.01</v>
      </c>
      <c r="P252">
        <v>1147.8</v>
      </c>
      <c r="Q252" t="s">
        <v>61</v>
      </c>
      <c r="R252">
        <v>32.700000000000003</v>
      </c>
    </row>
    <row r="253" spans="1:18" x14ac:dyDescent="0.25">
      <c r="A253" t="s">
        <v>318</v>
      </c>
      <c r="B253" s="1">
        <v>41205</v>
      </c>
      <c r="C253">
        <v>2012</v>
      </c>
      <c r="D253" t="s">
        <v>44</v>
      </c>
      <c r="E253" t="str">
        <f t="shared" si="6"/>
        <v>East</v>
      </c>
      <c r="F253" t="s">
        <v>45</v>
      </c>
      <c r="G253" t="s">
        <v>33</v>
      </c>
      <c r="H253" t="s">
        <v>27</v>
      </c>
      <c r="I253">
        <v>32.479999999999997</v>
      </c>
      <c r="J253">
        <v>176.32</v>
      </c>
      <c r="K253">
        <v>5428.63</v>
      </c>
      <c r="L253" t="str">
        <f t="shared" si="7"/>
        <v>High</v>
      </c>
      <c r="M253" t="s">
        <v>34</v>
      </c>
      <c r="N253" t="s">
        <v>41</v>
      </c>
      <c r="O253">
        <v>278.5</v>
      </c>
      <c r="P253">
        <v>228.21</v>
      </c>
      <c r="Q253" t="s">
        <v>70</v>
      </c>
      <c r="R253">
        <v>34.21</v>
      </c>
    </row>
    <row r="254" spans="1:18" x14ac:dyDescent="0.25">
      <c r="A254" t="s">
        <v>319</v>
      </c>
      <c r="B254" s="1">
        <v>44866</v>
      </c>
      <c r="C254">
        <v>2022</v>
      </c>
      <c r="D254" t="s">
        <v>59</v>
      </c>
      <c r="E254" t="str">
        <f t="shared" si="6"/>
        <v>East</v>
      </c>
      <c r="F254" t="s">
        <v>60</v>
      </c>
      <c r="G254" t="s">
        <v>38</v>
      </c>
      <c r="H254" t="s">
        <v>27</v>
      </c>
      <c r="I254">
        <v>31.6</v>
      </c>
      <c r="J254">
        <v>124.59</v>
      </c>
      <c r="K254">
        <v>3942.62</v>
      </c>
      <c r="L254" t="str">
        <f t="shared" si="7"/>
        <v>Medium</v>
      </c>
      <c r="M254" t="s">
        <v>21</v>
      </c>
      <c r="N254" t="s">
        <v>49</v>
      </c>
      <c r="O254">
        <v>64.040000000000006</v>
      </c>
      <c r="P254">
        <v>801.66</v>
      </c>
      <c r="Q254" t="s">
        <v>23</v>
      </c>
      <c r="R254">
        <v>27.9</v>
      </c>
    </row>
    <row r="255" spans="1:18" x14ac:dyDescent="0.25">
      <c r="A255" t="s">
        <v>320</v>
      </c>
      <c r="B255" s="1">
        <v>44847</v>
      </c>
      <c r="C255">
        <v>2022</v>
      </c>
      <c r="D255" t="s">
        <v>59</v>
      </c>
      <c r="E255" t="str">
        <f t="shared" si="6"/>
        <v>East</v>
      </c>
      <c r="F255" t="s">
        <v>60</v>
      </c>
      <c r="G255" t="s">
        <v>33</v>
      </c>
      <c r="H255" t="s">
        <v>20</v>
      </c>
      <c r="I255">
        <v>71.98</v>
      </c>
      <c r="J255">
        <v>468.78</v>
      </c>
      <c r="K255">
        <v>6512.68</v>
      </c>
      <c r="L255" t="str">
        <f t="shared" si="7"/>
        <v>High</v>
      </c>
      <c r="M255" t="s">
        <v>34</v>
      </c>
      <c r="N255" t="s">
        <v>49</v>
      </c>
      <c r="O255">
        <v>64.89</v>
      </c>
      <c r="P255">
        <v>347.71</v>
      </c>
      <c r="Q255" t="s">
        <v>42</v>
      </c>
      <c r="R255">
        <v>31.62</v>
      </c>
    </row>
    <row r="256" spans="1:18" x14ac:dyDescent="0.25">
      <c r="A256" t="s">
        <v>321</v>
      </c>
      <c r="B256" s="1">
        <v>44318</v>
      </c>
      <c r="C256">
        <v>2021</v>
      </c>
      <c r="D256" t="s">
        <v>25</v>
      </c>
      <c r="E256" t="str">
        <f t="shared" si="6"/>
        <v>North</v>
      </c>
      <c r="F256" t="s">
        <v>87</v>
      </c>
      <c r="G256" t="s">
        <v>19</v>
      </c>
      <c r="H256" t="s">
        <v>46</v>
      </c>
      <c r="I256">
        <v>59.02</v>
      </c>
      <c r="J256">
        <v>178.2</v>
      </c>
      <c r="K256">
        <v>3019.37</v>
      </c>
      <c r="L256" t="str">
        <f t="shared" si="7"/>
        <v>Medium</v>
      </c>
      <c r="M256" t="s">
        <v>34</v>
      </c>
      <c r="N256" t="s">
        <v>49</v>
      </c>
      <c r="O256">
        <v>84.11</v>
      </c>
      <c r="P256">
        <v>357.5</v>
      </c>
      <c r="Q256" t="s">
        <v>52</v>
      </c>
      <c r="R256">
        <v>31.88</v>
      </c>
    </row>
    <row r="257" spans="1:18" x14ac:dyDescent="0.25">
      <c r="A257" t="s">
        <v>322</v>
      </c>
      <c r="B257" s="1">
        <v>43237</v>
      </c>
      <c r="C257">
        <v>2018</v>
      </c>
      <c r="D257" t="s">
        <v>103</v>
      </c>
      <c r="E257" t="str">
        <f t="shared" si="6"/>
        <v>North</v>
      </c>
      <c r="F257" t="s">
        <v>228</v>
      </c>
      <c r="G257" t="s">
        <v>19</v>
      </c>
      <c r="H257" t="s">
        <v>27</v>
      </c>
      <c r="I257">
        <v>78.91</v>
      </c>
      <c r="J257">
        <v>184.6</v>
      </c>
      <c r="K257">
        <v>2339.42</v>
      </c>
      <c r="L257" t="str">
        <f t="shared" si="7"/>
        <v>Low</v>
      </c>
      <c r="M257" t="s">
        <v>40</v>
      </c>
      <c r="N257" t="s">
        <v>22</v>
      </c>
      <c r="O257">
        <v>144.6</v>
      </c>
      <c r="P257">
        <v>933.99</v>
      </c>
      <c r="Q257" t="s">
        <v>70</v>
      </c>
      <c r="R257">
        <v>21.91</v>
      </c>
    </row>
    <row r="258" spans="1:18" x14ac:dyDescent="0.25">
      <c r="A258" t="s">
        <v>323</v>
      </c>
      <c r="B258" s="1">
        <v>42508</v>
      </c>
      <c r="C258">
        <v>2016</v>
      </c>
      <c r="D258" t="s">
        <v>17</v>
      </c>
      <c r="E258" t="str">
        <f t="shared" si="6"/>
        <v>North</v>
      </c>
      <c r="F258" t="s">
        <v>54</v>
      </c>
      <c r="G258" t="s">
        <v>19</v>
      </c>
      <c r="H258" t="s">
        <v>64</v>
      </c>
      <c r="I258">
        <v>19.03</v>
      </c>
      <c r="J258">
        <v>55.36</v>
      </c>
      <c r="K258">
        <v>2909.3</v>
      </c>
      <c r="L258" t="str">
        <f t="shared" si="7"/>
        <v>Low</v>
      </c>
      <c r="M258" t="s">
        <v>40</v>
      </c>
      <c r="N258" t="s">
        <v>22</v>
      </c>
      <c r="O258">
        <v>209.91</v>
      </c>
      <c r="P258">
        <v>304.11</v>
      </c>
      <c r="Q258" t="s">
        <v>52</v>
      </c>
      <c r="R258">
        <v>22.11</v>
      </c>
    </row>
    <row r="259" spans="1:18" x14ac:dyDescent="0.25">
      <c r="A259" t="s">
        <v>324</v>
      </c>
      <c r="B259" s="1">
        <v>42245</v>
      </c>
      <c r="C259">
        <v>2015</v>
      </c>
      <c r="D259" t="s">
        <v>103</v>
      </c>
      <c r="E259" t="str">
        <f t="shared" ref="E259:E322" si="8">INDEX($U$2:$U$8,MATCH(D259,$T$2:$T$8,0))</f>
        <v>North</v>
      </c>
      <c r="F259" t="s">
        <v>107</v>
      </c>
      <c r="G259" t="s">
        <v>33</v>
      </c>
      <c r="H259" t="s">
        <v>39</v>
      </c>
      <c r="I259">
        <v>88.65</v>
      </c>
      <c r="J259">
        <v>135.84</v>
      </c>
      <c r="K259">
        <v>1532.36</v>
      </c>
      <c r="L259" t="str">
        <f t="shared" ref="L259:L322" si="9">IF(K259&gt;=5000,"High",IF(K259&gt;=3000,"Medium","Low"))</f>
        <v>Low</v>
      </c>
      <c r="M259" t="s">
        <v>34</v>
      </c>
      <c r="N259" t="s">
        <v>49</v>
      </c>
      <c r="O259">
        <v>161.66</v>
      </c>
      <c r="P259">
        <v>465.21</v>
      </c>
      <c r="Q259" t="s">
        <v>42</v>
      </c>
      <c r="R259">
        <v>30.4</v>
      </c>
    </row>
    <row r="260" spans="1:18" x14ac:dyDescent="0.25">
      <c r="A260" t="s">
        <v>325</v>
      </c>
      <c r="B260" s="1">
        <v>44444</v>
      </c>
      <c r="C260">
        <v>2021</v>
      </c>
      <c r="D260" t="s">
        <v>44</v>
      </c>
      <c r="E260" t="str">
        <f t="shared" si="8"/>
        <v>East</v>
      </c>
      <c r="F260" t="s">
        <v>45</v>
      </c>
      <c r="G260" t="s">
        <v>33</v>
      </c>
      <c r="H260" t="s">
        <v>64</v>
      </c>
      <c r="I260">
        <v>39.21</v>
      </c>
      <c r="J260">
        <v>211.56</v>
      </c>
      <c r="K260">
        <v>5395.51</v>
      </c>
      <c r="L260" t="str">
        <f t="shared" si="9"/>
        <v>High</v>
      </c>
      <c r="M260" t="s">
        <v>40</v>
      </c>
      <c r="N260" t="s">
        <v>22</v>
      </c>
      <c r="O260">
        <v>271.14</v>
      </c>
      <c r="P260">
        <v>693.08</v>
      </c>
      <c r="Q260" t="s">
        <v>52</v>
      </c>
      <c r="R260">
        <v>25.27</v>
      </c>
    </row>
    <row r="261" spans="1:18" x14ac:dyDescent="0.25">
      <c r="A261" t="s">
        <v>326</v>
      </c>
      <c r="B261" s="1">
        <v>44668</v>
      </c>
      <c r="C261">
        <v>2022</v>
      </c>
      <c r="D261" t="s">
        <v>44</v>
      </c>
      <c r="E261" t="str">
        <f t="shared" si="8"/>
        <v>East</v>
      </c>
      <c r="F261" t="s">
        <v>99</v>
      </c>
      <c r="G261" t="s">
        <v>19</v>
      </c>
      <c r="H261" t="s">
        <v>39</v>
      </c>
      <c r="I261">
        <v>76.069999999999993</v>
      </c>
      <c r="J261">
        <v>179.03</v>
      </c>
      <c r="K261">
        <v>2353.5</v>
      </c>
      <c r="L261" t="str">
        <f t="shared" si="9"/>
        <v>Low</v>
      </c>
      <c r="M261" t="s">
        <v>28</v>
      </c>
      <c r="N261" t="s">
        <v>22</v>
      </c>
      <c r="O261">
        <v>68.430000000000007</v>
      </c>
      <c r="P261">
        <v>1045.76</v>
      </c>
      <c r="Q261" t="s">
        <v>70</v>
      </c>
      <c r="R261">
        <v>20.3</v>
      </c>
    </row>
    <row r="262" spans="1:18" x14ac:dyDescent="0.25">
      <c r="A262" t="s">
        <v>327</v>
      </c>
      <c r="B262" s="1">
        <v>41324</v>
      </c>
      <c r="C262">
        <v>2012</v>
      </c>
      <c r="D262" t="s">
        <v>25</v>
      </c>
      <c r="E262" t="str">
        <f t="shared" si="8"/>
        <v>North</v>
      </c>
      <c r="F262" t="s">
        <v>87</v>
      </c>
      <c r="G262" t="s">
        <v>38</v>
      </c>
      <c r="H262" t="s">
        <v>56</v>
      </c>
      <c r="I262">
        <v>73.47</v>
      </c>
      <c r="J262">
        <v>314.62</v>
      </c>
      <c r="K262">
        <v>4282.28</v>
      </c>
      <c r="L262" t="str">
        <f t="shared" si="9"/>
        <v>Medium</v>
      </c>
      <c r="M262" t="s">
        <v>21</v>
      </c>
      <c r="N262" t="s">
        <v>41</v>
      </c>
      <c r="O262">
        <v>134.49</v>
      </c>
      <c r="P262">
        <v>1185.28</v>
      </c>
      <c r="Q262" t="s">
        <v>52</v>
      </c>
      <c r="R262">
        <v>30.57</v>
      </c>
    </row>
    <row r="263" spans="1:18" x14ac:dyDescent="0.25">
      <c r="A263" t="s">
        <v>328</v>
      </c>
      <c r="B263" s="1">
        <v>41133</v>
      </c>
      <c r="C263">
        <v>2012</v>
      </c>
      <c r="D263" t="s">
        <v>59</v>
      </c>
      <c r="E263" t="str">
        <f t="shared" si="8"/>
        <v>East</v>
      </c>
      <c r="F263" t="s">
        <v>63</v>
      </c>
      <c r="G263" t="s">
        <v>33</v>
      </c>
      <c r="H263" t="s">
        <v>64</v>
      </c>
      <c r="I263">
        <v>33.78</v>
      </c>
      <c r="J263">
        <v>231.27</v>
      </c>
      <c r="K263">
        <v>6846.39</v>
      </c>
      <c r="L263" t="str">
        <f t="shared" si="9"/>
        <v>High</v>
      </c>
      <c r="M263" t="s">
        <v>28</v>
      </c>
      <c r="N263" t="s">
        <v>49</v>
      </c>
      <c r="O263">
        <v>224.3</v>
      </c>
      <c r="P263">
        <v>922.04</v>
      </c>
      <c r="Q263" t="s">
        <v>61</v>
      </c>
      <c r="R263">
        <v>23.98</v>
      </c>
    </row>
    <row r="264" spans="1:18" x14ac:dyDescent="0.25">
      <c r="A264" t="s">
        <v>329</v>
      </c>
      <c r="B264" s="1">
        <v>40605</v>
      </c>
      <c r="C264">
        <v>2010</v>
      </c>
      <c r="D264" t="s">
        <v>103</v>
      </c>
      <c r="E264" t="str">
        <f t="shared" si="8"/>
        <v>North</v>
      </c>
      <c r="F264" t="s">
        <v>104</v>
      </c>
      <c r="G264" t="s">
        <v>38</v>
      </c>
      <c r="H264" t="s">
        <v>27</v>
      </c>
      <c r="I264">
        <v>55.42</v>
      </c>
      <c r="J264">
        <v>218.67</v>
      </c>
      <c r="K264">
        <v>3945.69</v>
      </c>
      <c r="L264" t="str">
        <f t="shared" si="9"/>
        <v>Medium</v>
      </c>
      <c r="M264" t="s">
        <v>21</v>
      </c>
      <c r="N264" t="s">
        <v>41</v>
      </c>
      <c r="O264">
        <v>140.21</v>
      </c>
      <c r="P264">
        <v>627.61</v>
      </c>
      <c r="Q264" t="s">
        <v>70</v>
      </c>
      <c r="R264">
        <v>32.36</v>
      </c>
    </row>
    <row r="265" spans="1:18" x14ac:dyDescent="0.25">
      <c r="A265" t="s">
        <v>330</v>
      </c>
      <c r="B265" s="1">
        <v>41493</v>
      </c>
      <c r="C265">
        <v>2013</v>
      </c>
      <c r="D265" t="s">
        <v>25</v>
      </c>
      <c r="E265" t="str">
        <f t="shared" si="8"/>
        <v>North</v>
      </c>
      <c r="F265" t="s">
        <v>26</v>
      </c>
      <c r="G265" t="s">
        <v>33</v>
      </c>
      <c r="H265" t="s">
        <v>39</v>
      </c>
      <c r="I265">
        <v>29.89</v>
      </c>
      <c r="J265">
        <v>44.58</v>
      </c>
      <c r="K265">
        <v>1491.62</v>
      </c>
      <c r="L265" t="str">
        <f t="shared" si="9"/>
        <v>Low</v>
      </c>
      <c r="M265" t="s">
        <v>21</v>
      </c>
      <c r="N265" t="s">
        <v>22</v>
      </c>
      <c r="O265">
        <v>127.09</v>
      </c>
      <c r="P265">
        <v>597.47</v>
      </c>
      <c r="Q265" t="s">
        <v>52</v>
      </c>
      <c r="R265">
        <v>33.42</v>
      </c>
    </row>
    <row r="266" spans="1:18" x14ac:dyDescent="0.25">
      <c r="A266" t="s">
        <v>331</v>
      </c>
      <c r="B266" s="1">
        <v>42590</v>
      </c>
      <c r="C266">
        <v>2016</v>
      </c>
      <c r="D266" t="s">
        <v>17</v>
      </c>
      <c r="E266" t="str">
        <f t="shared" si="8"/>
        <v>North</v>
      </c>
      <c r="F266" t="s">
        <v>54</v>
      </c>
      <c r="G266" t="s">
        <v>33</v>
      </c>
      <c r="H266" t="s">
        <v>20</v>
      </c>
      <c r="I266">
        <v>88.66</v>
      </c>
      <c r="J266">
        <v>285.17</v>
      </c>
      <c r="K266">
        <v>3216.41</v>
      </c>
      <c r="L266" t="str">
        <f t="shared" si="9"/>
        <v>Medium</v>
      </c>
      <c r="M266" t="s">
        <v>28</v>
      </c>
      <c r="N266" t="s">
        <v>47</v>
      </c>
      <c r="O266">
        <v>61.15</v>
      </c>
      <c r="P266">
        <v>639.74</v>
      </c>
      <c r="Q266" t="s">
        <v>70</v>
      </c>
      <c r="R266">
        <v>23.39</v>
      </c>
    </row>
    <row r="267" spans="1:18" x14ac:dyDescent="0.25">
      <c r="A267" t="s">
        <v>332</v>
      </c>
      <c r="B267" s="1">
        <v>44676</v>
      </c>
      <c r="C267">
        <v>2022</v>
      </c>
      <c r="D267" t="s">
        <v>25</v>
      </c>
      <c r="E267" t="str">
        <f t="shared" si="8"/>
        <v>North</v>
      </c>
      <c r="F267" t="s">
        <v>26</v>
      </c>
      <c r="G267" t="s">
        <v>19</v>
      </c>
      <c r="H267" t="s">
        <v>39</v>
      </c>
      <c r="I267">
        <v>10.57</v>
      </c>
      <c r="J267">
        <v>52.94</v>
      </c>
      <c r="K267">
        <v>5008.8500000000004</v>
      </c>
      <c r="L267" t="str">
        <f t="shared" si="9"/>
        <v>High</v>
      </c>
      <c r="M267" t="s">
        <v>28</v>
      </c>
      <c r="N267" t="s">
        <v>47</v>
      </c>
      <c r="O267">
        <v>292.68</v>
      </c>
      <c r="P267">
        <v>789.73</v>
      </c>
      <c r="Q267" t="s">
        <v>61</v>
      </c>
      <c r="R267">
        <v>20.91</v>
      </c>
    </row>
    <row r="268" spans="1:18" x14ac:dyDescent="0.25">
      <c r="A268" t="s">
        <v>333</v>
      </c>
      <c r="B268" s="1">
        <v>44268</v>
      </c>
      <c r="C268">
        <v>2020</v>
      </c>
      <c r="D268" t="s">
        <v>36</v>
      </c>
      <c r="E268" t="str">
        <f t="shared" si="8"/>
        <v>South</v>
      </c>
      <c r="F268" t="s">
        <v>77</v>
      </c>
      <c r="G268" t="s">
        <v>38</v>
      </c>
      <c r="H268" t="s">
        <v>27</v>
      </c>
      <c r="I268">
        <v>88.28</v>
      </c>
      <c r="J268">
        <v>340.55</v>
      </c>
      <c r="K268">
        <v>3857.57</v>
      </c>
      <c r="L268" t="str">
        <f t="shared" si="9"/>
        <v>Medium</v>
      </c>
      <c r="M268" t="s">
        <v>21</v>
      </c>
      <c r="N268" t="s">
        <v>47</v>
      </c>
      <c r="O268">
        <v>148.69999999999999</v>
      </c>
      <c r="P268">
        <v>1053.94</v>
      </c>
      <c r="Q268" t="s">
        <v>23</v>
      </c>
      <c r="R268">
        <v>27.53</v>
      </c>
    </row>
    <row r="269" spans="1:18" x14ac:dyDescent="0.25">
      <c r="A269" t="s">
        <v>334</v>
      </c>
      <c r="B269" s="1">
        <v>41172</v>
      </c>
      <c r="C269">
        <v>2012</v>
      </c>
      <c r="D269" t="s">
        <v>17</v>
      </c>
      <c r="E269" t="str">
        <f t="shared" si="8"/>
        <v>North</v>
      </c>
      <c r="F269" t="s">
        <v>54</v>
      </c>
      <c r="G269" t="s">
        <v>33</v>
      </c>
      <c r="H269" t="s">
        <v>46</v>
      </c>
      <c r="I269">
        <v>18.12</v>
      </c>
      <c r="J269">
        <v>125.14</v>
      </c>
      <c r="K269">
        <v>6906.21</v>
      </c>
      <c r="L269" t="str">
        <f t="shared" si="9"/>
        <v>High</v>
      </c>
      <c r="M269" t="s">
        <v>40</v>
      </c>
      <c r="N269" t="s">
        <v>41</v>
      </c>
      <c r="O269">
        <v>252.12</v>
      </c>
      <c r="P269">
        <v>326.19</v>
      </c>
      <c r="Q269" t="s">
        <v>52</v>
      </c>
      <c r="R269">
        <v>21.18</v>
      </c>
    </row>
    <row r="270" spans="1:18" x14ac:dyDescent="0.25">
      <c r="A270" t="s">
        <v>335</v>
      </c>
      <c r="B270" s="1">
        <v>41017</v>
      </c>
      <c r="C270">
        <v>2012</v>
      </c>
      <c r="D270" t="s">
        <v>44</v>
      </c>
      <c r="E270" t="str">
        <f t="shared" si="8"/>
        <v>East</v>
      </c>
      <c r="F270" t="s">
        <v>67</v>
      </c>
      <c r="G270" t="s">
        <v>19</v>
      </c>
      <c r="H270" t="s">
        <v>20</v>
      </c>
      <c r="I270">
        <v>32.659999999999997</v>
      </c>
      <c r="J270">
        <v>175.14</v>
      </c>
      <c r="K270">
        <v>5362.62</v>
      </c>
      <c r="L270" t="str">
        <f t="shared" si="9"/>
        <v>High</v>
      </c>
      <c r="M270" t="s">
        <v>21</v>
      </c>
      <c r="N270" t="s">
        <v>47</v>
      </c>
      <c r="O270">
        <v>71.760000000000005</v>
      </c>
      <c r="P270">
        <v>756.36</v>
      </c>
      <c r="Q270" t="s">
        <v>61</v>
      </c>
      <c r="R270">
        <v>24.89</v>
      </c>
    </row>
    <row r="271" spans="1:18" x14ac:dyDescent="0.25">
      <c r="A271" t="s">
        <v>336</v>
      </c>
      <c r="B271" s="1">
        <v>44712</v>
      </c>
      <c r="C271">
        <v>2022</v>
      </c>
      <c r="D271" t="s">
        <v>36</v>
      </c>
      <c r="E271" t="str">
        <f t="shared" si="8"/>
        <v>South</v>
      </c>
      <c r="F271" t="s">
        <v>37</v>
      </c>
      <c r="G271" t="s">
        <v>19</v>
      </c>
      <c r="H271" t="s">
        <v>27</v>
      </c>
      <c r="I271">
        <v>59.17</v>
      </c>
      <c r="J271">
        <v>336.68</v>
      </c>
      <c r="K271">
        <v>5690.11</v>
      </c>
      <c r="L271" t="str">
        <f t="shared" si="9"/>
        <v>High</v>
      </c>
      <c r="M271" t="s">
        <v>21</v>
      </c>
      <c r="N271" t="s">
        <v>22</v>
      </c>
      <c r="O271">
        <v>153.61000000000001</v>
      </c>
      <c r="P271">
        <v>348.2</v>
      </c>
      <c r="Q271" t="s">
        <v>61</v>
      </c>
      <c r="R271">
        <v>28.74</v>
      </c>
    </row>
    <row r="272" spans="1:18" x14ac:dyDescent="0.25">
      <c r="A272" t="s">
        <v>337</v>
      </c>
      <c r="B272" s="1">
        <v>44722</v>
      </c>
      <c r="C272">
        <v>2022</v>
      </c>
      <c r="D272" t="s">
        <v>25</v>
      </c>
      <c r="E272" t="str">
        <f t="shared" si="8"/>
        <v>North</v>
      </c>
      <c r="F272" t="s">
        <v>69</v>
      </c>
      <c r="G272" t="s">
        <v>33</v>
      </c>
      <c r="H272" t="s">
        <v>20</v>
      </c>
      <c r="I272">
        <v>86.88</v>
      </c>
      <c r="J272">
        <v>545.67999999999995</v>
      </c>
      <c r="K272">
        <v>6280.81</v>
      </c>
      <c r="L272" t="str">
        <f t="shared" si="9"/>
        <v>High</v>
      </c>
      <c r="M272" t="s">
        <v>28</v>
      </c>
      <c r="N272" t="s">
        <v>41</v>
      </c>
      <c r="O272">
        <v>116.03</v>
      </c>
      <c r="P272">
        <v>854.79</v>
      </c>
      <c r="Q272" t="s">
        <v>61</v>
      </c>
      <c r="R272">
        <v>29.13</v>
      </c>
    </row>
    <row r="273" spans="1:18" x14ac:dyDescent="0.25">
      <c r="A273" t="s">
        <v>338</v>
      </c>
      <c r="B273" s="1">
        <v>41030</v>
      </c>
      <c r="C273">
        <v>2012</v>
      </c>
      <c r="D273" t="s">
        <v>31</v>
      </c>
      <c r="E273" t="str">
        <f t="shared" si="8"/>
        <v>West</v>
      </c>
      <c r="F273" t="s">
        <v>32</v>
      </c>
      <c r="G273" t="s">
        <v>19</v>
      </c>
      <c r="H273" t="s">
        <v>27</v>
      </c>
      <c r="I273">
        <v>68.400000000000006</v>
      </c>
      <c r="J273">
        <v>233.27</v>
      </c>
      <c r="K273">
        <v>3410.32</v>
      </c>
      <c r="L273" t="str">
        <f t="shared" si="9"/>
        <v>Medium</v>
      </c>
      <c r="M273" t="s">
        <v>28</v>
      </c>
      <c r="N273" t="s">
        <v>49</v>
      </c>
      <c r="O273">
        <v>272.39</v>
      </c>
      <c r="P273">
        <v>531.49</v>
      </c>
      <c r="Q273" t="s">
        <v>42</v>
      </c>
      <c r="R273">
        <v>20.74</v>
      </c>
    </row>
    <row r="274" spans="1:18" x14ac:dyDescent="0.25">
      <c r="A274" t="s">
        <v>339</v>
      </c>
      <c r="B274" s="1">
        <v>42422</v>
      </c>
      <c r="C274">
        <v>2015</v>
      </c>
      <c r="D274" t="s">
        <v>31</v>
      </c>
      <c r="E274" t="str">
        <f t="shared" si="8"/>
        <v>West</v>
      </c>
      <c r="F274" t="s">
        <v>82</v>
      </c>
      <c r="G274" t="s">
        <v>38</v>
      </c>
      <c r="H274" t="s">
        <v>20</v>
      </c>
      <c r="I274">
        <v>28.75</v>
      </c>
      <c r="J274">
        <v>113.55</v>
      </c>
      <c r="K274">
        <v>3949.72</v>
      </c>
      <c r="L274" t="str">
        <f t="shared" si="9"/>
        <v>Medium</v>
      </c>
      <c r="M274" t="s">
        <v>21</v>
      </c>
      <c r="N274" t="s">
        <v>49</v>
      </c>
      <c r="O274">
        <v>293.12</v>
      </c>
      <c r="P274">
        <v>427.96</v>
      </c>
      <c r="Q274" t="s">
        <v>70</v>
      </c>
      <c r="R274">
        <v>34.61</v>
      </c>
    </row>
    <row r="275" spans="1:18" x14ac:dyDescent="0.25">
      <c r="A275" t="s">
        <v>340</v>
      </c>
      <c r="B275" s="1">
        <v>42493</v>
      </c>
      <c r="C275">
        <v>2016</v>
      </c>
      <c r="D275" t="s">
        <v>31</v>
      </c>
      <c r="E275" t="str">
        <f t="shared" si="8"/>
        <v>West</v>
      </c>
      <c r="F275" t="s">
        <v>117</v>
      </c>
      <c r="G275" t="s">
        <v>19</v>
      </c>
      <c r="H275" t="s">
        <v>39</v>
      </c>
      <c r="I275">
        <v>9.84</v>
      </c>
      <c r="J275">
        <v>35.92</v>
      </c>
      <c r="K275">
        <v>3650.3</v>
      </c>
      <c r="L275" t="str">
        <f t="shared" si="9"/>
        <v>Medium</v>
      </c>
      <c r="M275" t="s">
        <v>28</v>
      </c>
      <c r="N275" t="s">
        <v>41</v>
      </c>
      <c r="O275">
        <v>235.24</v>
      </c>
      <c r="P275">
        <v>959.49</v>
      </c>
      <c r="Q275" t="s">
        <v>70</v>
      </c>
      <c r="R275">
        <v>32.32</v>
      </c>
    </row>
    <row r="276" spans="1:18" x14ac:dyDescent="0.25">
      <c r="A276" t="s">
        <v>341</v>
      </c>
      <c r="B276" s="1">
        <v>44302</v>
      </c>
      <c r="C276">
        <v>2021</v>
      </c>
      <c r="D276" t="s">
        <v>25</v>
      </c>
      <c r="E276" t="str">
        <f t="shared" si="8"/>
        <v>North</v>
      </c>
      <c r="F276" t="s">
        <v>87</v>
      </c>
      <c r="G276" t="s">
        <v>19</v>
      </c>
      <c r="H276" t="s">
        <v>46</v>
      </c>
      <c r="I276">
        <v>14.43</v>
      </c>
      <c r="J276">
        <v>88.14</v>
      </c>
      <c r="K276">
        <v>6107.77</v>
      </c>
      <c r="L276" t="str">
        <f t="shared" si="9"/>
        <v>High</v>
      </c>
      <c r="M276" t="s">
        <v>21</v>
      </c>
      <c r="N276" t="s">
        <v>22</v>
      </c>
      <c r="O276">
        <v>93.43</v>
      </c>
      <c r="P276">
        <v>1075.18</v>
      </c>
      <c r="Q276" t="s">
        <v>42</v>
      </c>
      <c r="R276">
        <v>32.549999999999997</v>
      </c>
    </row>
    <row r="277" spans="1:18" x14ac:dyDescent="0.25">
      <c r="A277" t="s">
        <v>342</v>
      </c>
      <c r="B277" s="1">
        <v>42126</v>
      </c>
      <c r="C277">
        <v>2015</v>
      </c>
      <c r="D277" t="s">
        <v>36</v>
      </c>
      <c r="E277" t="str">
        <f t="shared" si="8"/>
        <v>South</v>
      </c>
      <c r="F277" t="s">
        <v>37</v>
      </c>
      <c r="G277" t="s">
        <v>19</v>
      </c>
      <c r="H277" t="s">
        <v>56</v>
      </c>
      <c r="I277">
        <v>28.12</v>
      </c>
      <c r="J277">
        <v>167.06</v>
      </c>
      <c r="K277">
        <v>5941.04</v>
      </c>
      <c r="L277" t="str">
        <f t="shared" si="9"/>
        <v>High</v>
      </c>
      <c r="M277" t="s">
        <v>28</v>
      </c>
      <c r="N277" t="s">
        <v>47</v>
      </c>
      <c r="O277">
        <v>208.85</v>
      </c>
      <c r="P277">
        <v>323.87</v>
      </c>
      <c r="Q277" t="s">
        <v>23</v>
      </c>
      <c r="R277">
        <v>23.63</v>
      </c>
    </row>
    <row r="278" spans="1:18" x14ac:dyDescent="0.25">
      <c r="A278" t="s">
        <v>343</v>
      </c>
      <c r="B278" s="1">
        <v>42829</v>
      </c>
      <c r="C278">
        <v>2017</v>
      </c>
      <c r="D278" t="s">
        <v>36</v>
      </c>
      <c r="E278" t="str">
        <f t="shared" si="8"/>
        <v>South</v>
      </c>
      <c r="F278" t="s">
        <v>37</v>
      </c>
      <c r="G278" t="s">
        <v>19</v>
      </c>
      <c r="H278" t="s">
        <v>27</v>
      </c>
      <c r="I278">
        <v>35.630000000000003</v>
      </c>
      <c r="J278">
        <v>70.59</v>
      </c>
      <c r="K278">
        <v>1981.08</v>
      </c>
      <c r="L278" t="str">
        <f t="shared" si="9"/>
        <v>Low</v>
      </c>
      <c r="M278" t="s">
        <v>34</v>
      </c>
      <c r="N278" t="s">
        <v>41</v>
      </c>
      <c r="O278">
        <v>237.24</v>
      </c>
      <c r="P278">
        <v>888.85</v>
      </c>
      <c r="Q278" t="s">
        <v>70</v>
      </c>
      <c r="R278">
        <v>20.41</v>
      </c>
    </row>
    <row r="279" spans="1:18" x14ac:dyDescent="0.25">
      <c r="A279" t="s">
        <v>344</v>
      </c>
      <c r="B279" s="1">
        <v>44746</v>
      </c>
      <c r="C279">
        <v>2022</v>
      </c>
      <c r="D279" t="s">
        <v>44</v>
      </c>
      <c r="E279" t="str">
        <f t="shared" si="8"/>
        <v>East</v>
      </c>
      <c r="F279" t="s">
        <v>67</v>
      </c>
      <c r="G279" t="s">
        <v>33</v>
      </c>
      <c r="H279" t="s">
        <v>56</v>
      </c>
      <c r="I279">
        <v>65.09</v>
      </c>
      <c r="J279">
        <v>329.76</v>
      </c>
      <c r="K279">
        <v>5066.17</v>
      </c>
      <c r="L279" t="str">
        <f t="shared" si="9"/>
        <v>High</v>
      </c>
      <c r="M279" t="s">
        <v>34</v>
      </c>
      <c r="N279" t="s">
        <v>41</v>
      </c>
      <c r="O279">
        <v>212.9</v>
      </c>
      <c r="P279">
        <v>713.28</v>
      </c>
      <c r="Q279" t="s">
        <v>23</v>
      </c>
      <c r="R279">
        <v>27.11</v>
      </c>
    </row>
    <row r="280" spans="1:18" x14ac:dyDescent="0.25">
      <c r="A280" t="s">
        <v>345</v>
      </c>
      <c r="B280" s="1">
        <v>41634</v>
      </c>
      <c r="C280">
        <v>2013</v>
      </c>
      <c r="D280" t="s">
        <v>59</v>
      </c>
      <c r="E280" t="str">
        <f t="shared" si="8"/>
        <v>East</v>
      </c>
      <c r="F280" t="s">
        <v>60</v>
      </c>
      <c r="G280" t="s">
        <v>38</v>
      </c>
      <c r="H280" t="s">
        <v>27</v>
      </c>
      <c r="I280">
        <v>80.7</v>
      </c>
      <c r="J280">
        <v>228.6</v>
      </c>
      <c r="K280">
        <v>2832.76</v>
      </c>
      <c r="L280" t="str">
        <f t="shared" si="9"/>
        <v>Low</v>
      </c>
      <c r="M280" t="s">
        <v>34</v>
      </c>
      <c r="N280" t="s">
        <v>29</v>
      </c>
      <c r="O280">
        <v>155.94999999999999</v>
      </c>
      <c r="P280">
        <v>576.48</v>
      </c>
      <c r="Q280" t="s">
        <v>70</v>
      </c>
      <c r="R280">
        <v>26.88</v>
      </c>
    </row>
    <row r="281" spans="1:18" x14ac:dyDescent="0.25">
      <c r="A281" t="s">
        <v>346</v>
      </c>
      <c r="B281" s="1">
        <v>43197</v>
      </c>
      <c r="C281">
        <v>2018</v>
      </c>
      <c r="D281" t="s">
        <v>31</v>
      </c>
      <c r="E281" t="str">
        <f t="shared" si="8"/>
        <v>West</v>
      </c>
      <c r="F281" t="s">
        <v>117</v>
      </c>
      <c r="G281" t="s">
        <v>19</v>
      </c>
      <c r="H281" t="s">
        <v>46</v>
      </c>
      <c r="I281">
        <v>58.86</v>
      </c>
      <c r="J281">
        <v>61.46</v>
      </c>
      <c r="K281">
        <v>1044.0899999999999</v>
      </c>
      <c r="L281" t="str">
        <f t="shared" si="9"/>
        <v>Low</v>
      </c>
      <c r="M281" t="s">
        <v>34</v>
      </c>
      <c r="N281" t="s">
        <v>29</v>
      </c>
      <c r="O281">
        <v>190.36</v>
      </c>
      <c r="P281">
        <v>793.77</v>
      </c>
      <c r="Q281" t="s">
        <v>70</v>
      </c>
      <c r="R281">
        <v>24.48</v>
      </c>
    </row>
    <row r="282" spans="1:18" x14ac:dyDescent="0.25">
      <c r="A282" t="s">
        <v>347</v>
      </c>
      <c r="B282" s="1">
        <v>41781</v>
      </c>
      <c r="C282">
        <v>2014</v>
      </c>
      <c r="D282" t="s">
        <v>25</v>
      </c>
      <c r="E282" t="str">
        <f t="shared" si="8"/>
        <v>North</v>
      </c>
      <c r="F282" t="s">
        <v>87</v>
      </c>
      <c r="G282" t="s">
        <v>19</v>
      </c>
      <c r="H282" t="s">
        <v>20</v>
      </c>
      <c r="I282">
        <v>86.29</v>
      </c>
      <c r="J282">
        <v>221.5</v>
      </c>
      <c r="K282">
        <v>2566.88</v>
      </c>
      <c r="L282" t="str">
        <f t="shared" si="9"/>
        <v>Low</v>
      </c>
      <c r="M282" t="s">
        <v>34</v>
      </c>
      <c r="N282" t="s">
        <v>47</v>
      </c>
      <c r="O282">
        <v>97.09</v>
      </c>
      <c r="P282">
        <v>717.29</v>
      </c>
      <c r="Q282" t="s">
        <v>42</v>
      </c>
      <c r="R282">
        <v>33.5</v>
      </c>
    </row>
    <row r="283" spans="1:18" x14ac:dyDescent="0.25">
      <c r="A283" t="s">
        <v>348</v>
      </c>
      <c r="B283" s="1">
        <v>42132</v>
      </c>
      <c r="C283">
        <v>2015</v>
      </c>
      <c r="D283" t="s">
        <v>36</v>
      </c>
      <c r="E283" t="str">
        <f t="shared" si="8"/>
        <v>South</v>
      </c>
      <c r="F283" t="s">
        <v>77</v>
      </c>
      <c r="G283" t="s">
        <v>19</v>
      </c>
      <c r="H283" t="s">
        <v>56</v>
      </c>
      <c r="I283">
        <v>72.41</v>
      </c>
      <c r="J283">
        <v>357.16</v>
      </c>
      <c r="K283">
        <v>4932.3999999999996</v>
      </c>
      <c r="L283" t="str">
        <f t="shared" si="9"/>
        <v>Medium</v>
      </c>
      <c r="M283" t="s">
        <v>34</v>
      </c>
      <c r="N283" t="s">
        <v>47</v>
      </c>
      <c r="O283">
        <v>114.86</v>
      </c>
      <c r="P283">
        <v>618.57000000000005</v>
      </c>
      <c r="Q283" t="s">
        <v>52</v>
      </c>
      <c r="R283">
        <v>31.05</v>
      </c>
    </row>
    <row r="284" spans="1:18" x14ac:dyDescent="0.25">
      <c r="A284" t="s">
        <v>349</v>
      </c>
      <c r="B284" s="1">
        <v>42105</v>
      </c>
      <c r="C284">
        <v>2015</v>
      </c>
      <c r="D284" t="s">
        <v>44</v>
      </c>
      <c r="E284" t="str">
        <f t="shared" si="8"/>
        <v>East</v>
      </c>
      <c r="F284" t="s">
        <v>45</v>
      </c>
      <c r="G284" t="s">
        <v>19</v>
      </c>
      <c r="H284" t="s">
        <v>39</v>
      </c>
      <c r="I284">
        <v>23.01</v>
      </c>
      <c r="J284">
        <v>96.82</v>
      </c>
      <c r="K284">
        <v>4207.8100000000004</v>
      </c>
      <c r="L284" t="str">
        <f t="shared" si="9"/>
        <v>Medium</v>
      </c>
      <c r="M284" t="s">
        <v>28</v>
      </c>
      <c r="N284" t="s">
        <v>47</v>
      </c>
      <c r="O284">
        <v>276.63</v>
      </c>
      <c r="P284">
        <v>871.87</v>
      </c>
      <c r="Q284" t="s">
        <v>61</v>
      </c>
      <c r="R284">
        <v>24.5</v>
      </c>
    </row>
    <row r="285" spans="1:18" x14ac:dyDescent="0.25">
      <c r="A285" t="s">
        <v>350</v>
      </c>
      <c r="B285" s="1">
        <v>40905</v>
      </c>
      <c r="C285">
        <v>2011</v>
      </c>
      <c r="D285" t="s">
        <v>103</v>
      </c>
      <c r="E285" t="str">
        <f t="shared" si="8"/>
        <v>North</v>
      </c>
      <c r="F285" t="s">
        <v>107</v>
      </c>
      <c r="G285" t="s">
        <v>38</v>
      </c>
      <c r="H285" t="s">
        <v>56</v>
      </c>
      <c r="I285">
        <v>74.349999999999994</v>
      </c>
      <c r="J285">
        <v>397.86</v>
      </c>
      <c r="K285">
        <v>5351.12</v>
      </c>
      <c r="L285" t="str">
        <f t="shared" si="9"/>
        <v>High</v>
      </c>
      <c r="M285" t="s">
        <v>40</v>
      </c>
      <c r="N285" t="s">
        <v>49</v>
      </c>
      <c r="O285">
        <v>286.73</v>
      </c>
      <c r="P285">
        <v>1099.5899999999999</v>
      </c>
      <c r="Q285" t="s">
        <v>23</v>
      </c>
      <c r="R285">
        <v>23.33</v>
      </c>
    </row>
    <row r="286" spans="1:18" x14ac:dyDescent="0.25">
      <c r="A286" t="s">
        <v>351</v>
      </c>
      <c r="B286" s="1">
        <v>42327</v>
      </c>
      <c r="C286">
        <v>2015</v>
      </c>
      <c r="D286" t="s">
        <v>36</v>
      </c>
      <c r="E286" t="str">
        <f t="shared" si="8"/>
        <v>South</v>
      </c>
      <c r="F286" t="s">
        <v>51</v>
      </c>
      <c r="G286" t="s">
        <v>38</v>
      </c>
      <c r="H286" t="s">
        <v>27</v>
      </c>
      <c r="I286">
        <v>30.11</v>
      </c>
      <c r="J286">
        <v>183.89</v>
      </c>
      <c r="K286">
        <v>6107.28</v>
      </c>
      <c r="L286" t="str">
        <f t="shared" si="9"/>
        <v>High</v>
      </c>
      <c r="M286" t="s">
        <v>28</v>
      </c>
      <c r="N286" t="s">
        <v>29</v>
      </c>
      <c r="O286">
        <v>63.42</v>
      </c>
      <c r="P286">
        <v>834.4</v>
      </c>
      <c r="Q286" t="s">
        <v>61</v>
      </c>
      <c r="R286">
        <v>34.159999999999997</v>
      </c>
    </row>
    <row r="287" spans="1:18" x14ac:dyDescent="0.25">
      <c r="A287" t="s">
        <v>352</v>
      </c>
      <c r="B287" s="1">
        <v>40691</v>
      </c>
      <c r="C287">
        <v>2011</v>
      </c>
      <c r="D287" t="s">
        <v>103</v>
      </c>
      <c r="E287" t="str">
        <f t="shared" si="8"/>
        <v>North</v>
      </c>
      <c r="F287" t="s">
        <v>228</v>
      </c>
      <c r="G287" t="s">
        <v>19</v>
      </c>
      <c r="H287" t="s">
        <v>46</v>
      </c>
      <c r="I287">
        <v>53.45</v>
      </c>
      <c r="J287">
        <v>185.93</v>
      </c>
      <c r="K287">
        <v>3478.64</v>
      </c>
      <c r="L287" t="str">
        <f t="shared" si="9"/>
        <v>Medium</v>
      </c>
      <c r="M287" t="s">
        <v>40</v>
      </c>
      <c r="N287" t="s">
        <v>29</v>
      </c>
      <c r="O287">
        <v>84.34</v>
      </c>
      <c r="P287">
        <v>400.3</v>
      </c>
      <c r="Q287" t="s">
        <v>52</v>
      </c>
      <c r="R287">
        <v>34.81</v>
      </c>
    </row>
    <row r="288" spans="1:18" x14ac:dyDescent="0.25">
      <c r="A288" t="s">
        <v>353</v>
      </c>
      <c r="B288" s="1">
        <v>44391</v>
      </c>
      <c r="C288">
        <v>2021</v>
      </c>
      <c r="D288" t="s">
        <v>103</v>
      </c>
      <c r="E288" t="str">
        <f t="shared" si="8"/>
        <v>North</v>
      </c>
      <c r="F288" t="s">
        <v>107</v>
      </c>
      <c r="G288" t="s">
        <v>33</v>
      </c>
      <c r="H288" t="s">
        <v>64</v>
      </c>
      <c r="I288">
        <v>49.27</v>
      </c>
      <c r="J288">
        <v>235.82</v>
      </c>
      <c r="K288">
        <v>4786.2</v>
      </c>
      <c r="L288" t="str">
        <f t="shared" si="9"/>
        <v>Medium</v>
      </c>
      <c r="M288" t="s">
        <v>40</v>
      </c>
      <c r="N288" t="s">
        <v>47</v>
      </c>
      <c r="O288">
        <v>128.35</v>
      </c>
      <c r="P288">
        <v>258.01</v>
      </c>
      <c r="Q288" t="s">
        <v>52</v>
      </c>
      <c r="R288">
        <v>24.1</v>
      </c>
    </row>
    <row r="289" spans="1:18" x14ac:dyDescent="0.25">
      <c r="A289" t="s">
        <v>354</v>
      </c>
      <c r="B289" s="1">
        <v>42938</v>
      </c>
      <c r="C289">
        <v>2017</v>
      </c>
      <c r="D289" t="s">
        <v>44</v>
      </c>
      <c r="E289" t="str">
        <f t="shared" si="8"/>
        <v>East</v>
      </c>
      <c r="F289" t="s">
        <v>45</v>
      </c>
      <c r="G289" t="s">
        <v>33</v>
      </c>
      <c r="H289" t="s">
        <v>56</v>
      </c>
      <c r="I289">
        <v>61.83</v>
      </c>
      <c r="J289">
        <v>296.83999999999997</v>
      </c>
      <c r="K289">
        <v>4800.93</v>
      </c>
      <c r="L289" t="str">
        <f t="shared" si="9"/>
        <v>Medium</v>
      </c>
      <c r="M289" t="s">
        <v>28</v>
      </c>
      <c r="N289" t="s">
        <v>49</v>
      </c>
      <c r="O289">
        <v>157.26</v>
      </c>
      <c r="P289">
        <v>677.4</v>
      </c>
      <c r="Q289" t="s">
        <v>23</v>
      </c>
      <c r="R289">
        <v>20.57</v>
      </c>
    </row>
    <row r="290" spans="1:18" x14ac:dyDescent="0.25">
      <c r="A290" t="s">
        <v>355</v>
      </c>
      <c r="B290" s="1">
        <v>44676</v>
      </c>
      <c r="C290">
        <v>2022</v>
      </c>
      <c r="D290" t="s">
        <v>25</v>
      </c>
      <c r="E290" t="str">
        <f t="shared" si="8"/>
        <v>North</v>
      </c>
      <c r="F290" t="s">
        <v>87</v>
      </c>
      <c r="G290" t="s">
        <v>19</v>
      </c>
      <c r="H290" t="s">
        <v>56</v>
      </c>
      <c r="I290">
        <v>2.77</v>
      </c>
      <c r="J290">
        <v>2.84</v>
      </c>
      <c r="K290">
        <v>1024.74</v>
      </c>
      <c r="L290" t="str">
        <f t="shared" si="9"/>
        <v>Low</v>
      </c>
      <c r="M290" t="s">
        <v>40</v>
      </c>
      <c r="N290" t="s">
        <v>47</v>
      </c>
      <c r="O290">
        <v>106.57</v>
      </c>
      <c r="P290">
        <v>1076.99</v>
      </c>
      <c r="Q290" t="s">
        <v>70</v>
      </c>
      <c r="R290">
        <v>21.93</v>
      </c>
    </row>
    <row r="291" spans="1:18" x14ac:dyDescent="0.25">
      <c r="A291" t="s">
        <v>356</v>
      </c>
      <c r="B291" s="1">
        <v>41186</v>
      </c>
      <c r="C291">
        <v>2012</v>
      </c>
      <c r="D291" t="s">
        <v>59</v>
      </c>
      <c r="E291" t="str">
        <f t="shared" si="8"/>
        <v>East</v>
      </c>
      <c r="F291" t="s">
        <v>63</v>
      </c>
      <c r="G291" t="s">
        <v>33</v>
      </c>
      <c r="H291" t="s">
        <v>64</v>
      </c>
      <c r="I291">
        <v>30.52</v>
      </c>
      <c r="J291">
        <v>83.78</v>
      </c>
      <c r="K291">
        <v>2744.97</v>
      </c>
      <c r="L291" t="str">
        <f t="shared" si="9"/>
        <v>Low</v>
      </c>
      <c r="M291" t="s">
        <v>34</v>
      </c>
      <c r="N291" t="s">
        <v>49</v>
      </c>
      <c r="O291">
        <v>158.41999999999999</v>
      </c>
      <c r="P291">
        <v>886.78</v>
      </c>
      <c r="Q291" t="s">
        <v>42</v>
      </c>
      <c r="R291">
        <v>25.14</v>
      </c>
    </row>
    <row r="292" spans="1:18" x14ac:dyDescent="0.25">
      <c r="A292" t="s">
        <v>357</v>
      </c>
      <c r="B292" s="1">
        <v>41307</v>
      </c>
      <c r="C292">
        <v>2012</v>
      </c>
      <c r="D292" t="s">
        <v>44</v>
      </c>
      <c r="E292" t="str">
        <f t="shared" si="8"/>
        <v>East</v>
      </c>
      <c r="F292" t="s">
        <v>45</v>
      </c>
      <c r="G292" t="s">
        <v>38</v>
      </c>
      <c r="H292" t="s">
        <v>64</v>
      </c>
      <c r="I292">
        <v>23.61</v>
      </c>
      <c r="J292">
        <v>126.62</v>
      </c>
      <c r="K292">
        <v>5363.01</v>
      </c>
      <c r="L292" t="str">
        <f t="shared" si="9"/>
        <v>High</v>
      </c>
      <c r="M292" t="s">
        <v>40</v>
      </c>
      <c r="N292" t="s">
        <v>22</v>
      </c>
      <c r="O292">
        <v>102.8</v>
      </c>
      <c r="P292">
        <v>221.91</v>
      </c>
      <c r="Q292" t="s">
        <v>61</v>
      </c>
      <c r="R292">
        <v>22.53</v>
      </c>
    </row>
    <row r="293" spans="1:18" x14ac:dyDescent="0.25">
      <c r="A293" t="s">
        <v>358</v>
      </c>
      <c r="B293" s="1">
        <v>41754</v>
      </c>
      <c r="C293">
        <v>2014</v>
      </c>
      <c r="D293" t="s">
        <v>36</v>
      </c>
      <c r="E293" t="str">
        <f t="shared" si="8"/>
        <v>South</v>
      </c>
      <c r="F293" t="s">
        <v>77</v>
      </c>
      <c r="G293" t="s">
        <v>19</v>
      </c>
      <c r="H293" t="s">
        <v>27</v>
      </c>
      <c r="I293">
        <v>5.81</v>
      </c>
      <c r="J293">
        <v>40.479999999999997</v>
      </c>
      <c r="K293">
        <v>6968.08</v>
      </c>
      <c r="L293" t="str">
        <f t="shared" si="9"/>
        <v>High</v>
      </c>
      <c r="M293" t="s">
        <v>21</v>
      </c>
      <c r="N293" t="s">
        <v>22</v>
      </c>
      <c r="O293">
        <v>213.39</v>
      </c>
      <c r="P293">
        <v>219.74</v>
      </c>
      <c r="Q293" t="s">
        <v>23</v>
      </c>
      <c r="R293">
        <v>26.25</v>
      </c>
    </row>
    <row r="294" spans="1:18" x14ac:dyDescent="0.25">
      <c r="A294" t="s">
        <v>359</v>
      </c>
      <c r="B294" s="1">
        <v>42864</v>
      </c>
      <c r="C294">
        <v>2017</v>
      </c>
      <c r="D294" t="s">
        <v>59</v>
      </c>
      <c r="E294" t="str">
        <f t="shared" si="8"/>
        <v>East</v>
      </c>
      <c r="F294" t="s">
        <v>63</v>
      </c>
      <c r="G294" t="s">
        <v>19</v>
      </c>
      <c r="H294" t="s">
        <v>56</v>
      </c>
      <c r="I294">
        <v>21.34</v>
      </c>
      <c r="J294">
        <v>109.14</v>
      </c>
      <c r="K294">
        <v>5114.4399999999996</v>
      </c>
      <c r="L294" t="str">
        <f t="shared" si="9"/>
        <v>High</v>
      </c>
      <c r="M294" t="s">
        <v>21</v>
      </c>
      <c r="N294" t="s">
        <v>41</v>
      </c>
      <c r="O294">
        <v>125.28</v>
      </c>
      <c r="P294">
        <v>861.66</v>
      </c>
      <c r="Q294" t="s">
        <v>61</v>
      </c>
      <c r="R294">
        <v>24.05</v>
      </c>
    </row>
    <row r="295" spans="1:18" x14ac:dyDescent="0.25">
      <c r="A295" t="s">
        <v>360</v>
      </c>
      <c r="B295" s="1">
        <v>43203</v>
      </c>
      <c r="C295">
        <v>2018</v>
      </c>
      <c r="D295" t="s">
        <v>36</v>
      </c>
      <c r="E295" t="str">
        <f t="shared" si="8"/>
        <v>South</v>
      </c>
      <c r="F295" t="s">
        <v>37</v>
      </c>
      <c r="G295" t="s">
        <v>19</v>
      </c>
      <c r="H295" t="s">
        <v>27</v>
      </c>
      <c r="I295">
        <v>12.66</v>
      </c>
      <c r="J295">
        <v>21.32</v>
      </c>
      <c r="K295">
        <v>1684.08</v>
      </c>
      <c r="L295" t="str">
        <f t="shared" si="9"/>
        <v>Low</v>
      </c>
      <c r="M295" t="s">
        <v>21</v>
      </c>
      <c r="N295" t="s">
        <v>49</v>
      </c>
      <c r="O295">
        <v>174.43</v>
      </c>
      <c r="P295">
        <v>809</v>
      </c>
      <c r="Q295" t="s">
        <v>70</v>
      </c>
      <c r="R295">
        <v>32.47</v>
      </c>
    </row>
    <row r="296" spans="1:18" x14ac:dyDescent="0.25">
      <c r="A296" t="s">
        <v>361</v>
      </c>
      <c r="B296" s="1">
        <v>41937</v>
      </c>
      <c r="C296">
        <v>2014</v>
      </c>
      <c r="D296" t="s">
        <v>17</v>
      </c>
      <c r="E296" t="str">
        <f t="shared" si="8"/>
        <v>North</v>
      </c>
      <c r="F296" t="s">
        <v>72</v>
      </c>
      <c r="G296" t="s">
        <v>33</v>
      </c>
      <c r="H296" t="s">
        <v>64</v>
      </c>
      <c r="I296">
        <v>55.27</v>
      </c>
      <c r="J296">
        <v>357.16</v>
      </c>
      <c r="K296">
        <v>6462.14</v>
      </c>
      <c r="L296" t="str">
        <f t="shared" si="9"/>
        <v>High</v>
      </c>
      <c r="M296" t="s">
        <v>28</v>
      </c>
      <c r="N296" t="s">
        <v>29</v>
      </c>
      <c r="O296">
        <v>132.65</v>
      </c>
      <c r="P296">
        <v>202.74</v>
      </c>
      <c r="Q296" t="s">
        <v>23</v>
      </c>
      <c r="R296">
        <v>33.6</v>
      </c>
    </row>
    <row r="297" spans="1:18" x14ac:dyDescent="0.25">
      <c r="A297" t="s">
        <v>362</v>
      </c>
      <c r="B297" s="1">
        <v>44655</v>
      </c>
      <c r="C297">
        <v>2022</v>
      </c>
      <c r="D297" t="s">
        <v>103</v>
      </c>
      <c r="E297" t="str">
        <f t="shared" si="8"/>
        <v>North</v>
      </c>
      <c r="F297" t="s">
        <v>104</v>
      </c>
      <c r="G297" t="s">
        <v>19</v>
      </c>
      <c r="H297" t="s">
        <v>64</v>
      </c>
      <c r="I297">
        <v>72.63</v>
      </c>
      <c r="J297">
        <v>116.77</v>
      </c>
      <c r="K297">
        <v>1607.74</v>
      </c>
      <c r="L297" t="str">
        <f t="shared" si="9"/>
        <v>Low</v>
      </c>
      <c r="M297" t="s">
        <v>34</v>
      </c>
      <c r="N297" t="s">
        <v>22</v>
      </c>
      <c r="O297">
        <v>211.08</v>
      </c>
      <c r="P297">
        <v>656.75</v>
      </c>
      <c r="Q297" t="s">
        <v>70</v>
      </c>
      <c r="R297">
        <v>23.96</v>
      </c>
    </row>
    <row r="298" spans="1:18" x14ac:dyDescent="0.25">
      <c r="A298" t="s">
        <v>363</v>
      </c>
      <c r="B298" s="1">
        <v>40518</v>
      </c>
      <c r="C298">
        <v>2010</v>
      </c>
      <c r="D298" t="s">
        <v>44</v>
      </c>
      <c r="E298" t="str">
        <f t="shared" si="8"/>
        <v>East</v>
      </c>
      <c r="F298" t="s">
        <v>45</v>
      </c>
      <c r="G298" t="s">
        <v>38</v>
      </c>
      <c r="H298" t="s">
        <v>20</v>
      </c>
      <c r="I298">
        <v>80.36</v>
      </c>
      <c r="J298">
        <v>231.13</v>
      </c>
      <c r="K298">
        <v>2876.24</v>
      </c>
      <c r="L298" t="str">
        <f t="shared" si="9"/>
        <v>Low</v>
      </c>
      <c r="M298" t="s">
        <v>21</v>
      </c>
      <c r="N298" t="s">
        <v>41</v>
      </c>
      <c r="O298">
        <v>73.75</v>
      </c>
      <c r="P298">
        <v>958.2</v>
      </c>
      <c r="Q298" t="s">
        <v>23</v>
      </c>
      <c r="R298">
        <v>20.149999999999999</v>
      </c>
    </row>
    <row r="299" spans="1:18" x14ac:dyDescent="0.25">
      <c r="A299" t="s">
        <v>364</v>
      </c>
      <c r="B299" s="1">
        <v>42850</v>
      </c>
      <c r="C299">
        <v>2017</v>
      </c>
      <c r="D299" t="s">
        <v>31</v>
      </c>
      <c r="E299" t="str">
        <f t="shared" si="8"/>
        <v>West</v>
      </c>
      <c r="F299" t="s">
        <v>32</v>
      </c>
      <c r="G299" t="s">
        <v>19</v>
      </c>
      <c r="H299" t="s">
        <v>20</v>
      </c>
      <c r="I299">
        <v>87.97</v>
      </c>
      <c r="J299">
        <v>137.03</v>
      </c>
      <c r="K299">
        <v>1557.71</v>
      </c>
      <c r="L299" t="str">
        <f t="shared" si="9"/>
        <v>Low</v>
      </c>
      <c r="M299" t="s">
        <v>34</v>
      </c>
      <c r="N299" t="s">
        <v>29</v>
      </c>
      <c r="O299">
        <v>95.72</v>
      </c>
      <c r="P299">
        <v>600.78</v>
      </c>
      <c r="Q299" t="s">
        <v>52</v>
      </c>
      <c r="R299">
        <v>24.08</v>
      </c>
    </row>
    <row r="300" spans="1:18" x14ac:dyDescent="0.25">
      <c r="A300" t="s">
        <v>365</v>
      </c>
      <c r="B300" s="1">
        <v>44095</v>
      </c>
      <c r="C300">
        <v>2020</v>
      </c>
      <c r="D300" t="s">
        <v>44</v>
      </c>
      <c r="E300" t="str">
        <f t="shared" si="8"/>
        <v>East</v>
      </c>
      <c r="F300" t="s">
        <v>99</v>
      </c>
      <c r="G300" t="s">
        <v>33</v>
      </c>
      <c r="H300" t="s">
        <v>64</v>
      </c>
      <c r="I300">
        <v>14.12</v>
      </c>
      <c r="J300">
        <v>75.66</v>
      </c>
      <c r="K300">
        <v>5358.47</v>
      </c>
      <c r="L300" t="str">
        <f t="shared" si="9"/>
        <v>High</v>
      </c>
      <c r="M300" t="s">
        <v>40</v>
      </c>
      <c r="N300" t="s">
        <v>41</v>
      </c>
      <c r="O300">
        <v>75.930000000000007</v>
      </c>
      <c r="P300">
        <v>1111.23</v>
      </c>
      <c r="Q300" t="s">
        <v>52</v>
      </c>
      <c r="R300">
        <v>32.03</v>
      </c>
    </row>
    <row r="301" spans="1:18" x14ac:dyDescent="0.25">
      <c r="A301" t="s">
        <v>366</v>
      </c>
      <c r="B301" s="1">
        <v>44882</v>
      </c>
      <c r="C301">
        <v>2022</v>
      </c>
      <c r="D301" t="s">
        <v>59</v>
      </c>
      <c r="E301" t="str">
        <f t="shared" si="8"/>
        <v>East</v>
      </c>
      <c r="F301" t="s">
        <v>63</v>
      </c>
      <c r="G301" t="s">
        <v>38</v>
      </c>
      <c r="H301" t="s">
        <v>27</v>
      </c>
      <c r="I301">
        <v>3.85</v>
      </c>
      <c r="J301">
        <v>19.66</v>
      </c>
      <c r="K301">
        <v>5106.78</v>
      </c>
      <c r="L301" t="str">
        <f t="shared" si="9"/>
        <v>High</v>
      </c>
      <c r="M301" t="s">
        <v>40</v>
      </c>
      <c r="N301" t="s">
        <v>49</v>
      </c>
      <c r="O301">
        <v>170.77</v>
      </c>
      <c r="P301">
        <v>688.12</v>
      </c>
      <c r="Q301" t="s">
        <v>52</v>
      </c>
      <c r="R301">
        <v>26.61</v>
      </c>
    </row>
    <row r="302" spans="1:18" x14ac:dyDescent="0.25">
      <c r="A302" t="s">
        <v>367</v>
      </c>
      <c r="B302" s="1">
        <v>40313</v>
      </c>
      <c r="C302">
        <v>2010</v>
      </c>
      <c r="D302" t="s">
        <v>17</v>
      </c>
      <c r="E302" t="str">
        <f t="shared" si="8"/>
        <v>North</v>
      </c>
      <c r="F302" t="s">
        <v>72</v>
      </c>
      <c r="G302" t="s">
        <v>19</v>
      </c>
      <c r="H302" t="s">
        <v>39</v>
      </c>
      <c r="I302">
        <v>52.96</v>
      </c>
      <c r="J302">
        <v>289.25</v>
      </c>
      <c r="K302">
        <v>5461.74</v>
      </c>
      <c r="L302" t="str">
        <f t="shared" si="9"/>
        <v>High</v>
      </c>
      <c r="M302" t="s">
        <v>40</v>
      </c>
      <c r="N302" t="s">
        <v>47</v>
      </c>
      <c r="O302">
        <v>294.47000000000003</v>
      </c>
      <c r="P302">
        <v>869.84</v>
      </c>
      <c r="Q302" t="s">
        <v>70</v>
      </c>
      <c r="R302">
        <v>27.79</v>
      </c>
    </row>
    <row r="303" spans="1:18" x14ac:dyDescent="0.25">
      <c r="A303" t="s">
        <v>368</v>
      </c>
      <c r="B303" s="1">
        <v>43963</v>
      </c>
      <c r="C303">
        <v>2020</v>
      </c>
      <c r="D303" t="s">
        <v>25</v>
      </c>
      <c r="E303" t="str">
        <f t="shared" si="8"/>
        <v>North</v>
      </c>
      <c r="F303" t="s">
        <v>87</v>
      </c>
      <c r="G303" t="s">
        <v>19</v>
      </c>
      <c r="H303" t="s">
        <v>56</v>
      </c>
      <c r="I303">
        <v>48.71</v>
      </c>
      <c r="J303">
        <v>242.69</v>
      </c>
      <c r="K303">
        <v>4982.26</v>
      </c>
      <c r="L303" t="str">
        <f t="shared" si="9"/>
        <v>Medium</v>
      </c>
      <c r="M303" t="s">
        <v>28</v>
      </c>
      <c r="N303" t="s">
        <v>41</v>
      </c>
      <c r="O303">
        <v>87.16</v>
      </c>
      <c r="P303">
        <v>1026.44</v>
      </c>
      <c r="Q303" t="s">
        <v>61</v>
      </c>
      <c r="R303">
        <v>20.82</v>
      </c>
    </row>
    <row r="304" spans="1:18" x14ac:dyDescent="0.25">
      <c r="A304" t="s">
        <v>369</v>
      </c>
      <c r="B304" s="1">
        <v>42983</v>
      </c>
      <c r="C304">
        <v>2017</v>
      </c>
      <c r="D304" t="s">
        <v>59</v>
      </c>
      <c r="E304" t="str">
        <f t="shared" si="8"/>
        <v>East</v>
      </c>
      <c r="F304" t="s">
        <v>63</v>
      </c>
      <c r="G304" t="s">
        <v>33</v>
      </c>
      <c r="H304" t="s">
        <v>64</v>
      </c>
      <c r="I304">
        <v>75.39</v>
      </c>
      <c r="J304">
        <v>220.43</v>
      </c>
      <c r="K304">
        <v>2923.8</v>
      </c>
      <c r="L304" t="str">
        <f t="shared" si="9"/>
        <v>Low</v>
      </c>
      <c r="M304" t="s">
        <v>34</v>
      </c>
      <c r="N304" t="s">
        <v>29</v>
      </c>
      <c r="O304">
        <v>292.54000000000002</v>
      </c>
      <c r="P304">
        <v>250.35</v>
      </c>
      <c r="Q304" t="s">
        <v>42</v>
      </c>
      <c r="R304">
        <v>28.26</v>
      </c>
    </row>
    <row r="305" spans="1:18" x14ac:dyDescent="0.25">
      <c r="A305" t="s">
        <v>370</v>
      </c>
      <c r="B305" s="1">
        <v>40852</v>
      </c>
      <c r="C305">
        <v>2011</v>
      </c>
      <c r="D305" t="s">
        <v>44</v>
      </c>
      <c r="E305" t="str">
        <f t="shared" si="8"/>
        <v>East</v>
      </c>
      <c r="F305" t="s">
        <v>45</v>
      </c>
      <c r="G305" t="s">
        <v>38</v>
      </c>
      <c r="H305" t="s">
        <v>46</v>
      </c>
      <c r="I305">
        <v>80.319999999999993</v>
      </c>
      <c r="J305">
        <v>296.27</v>
      </c>
      <c r="K305">
        <v>3688.59</v>
      </c>
      <c r="L305" t="str">
        <f t="shared" si="9"/>
        <v>Medium</v>
      </c>
      <c r="M305" t="s">
        <v>28</v>
      </c>
      <c r="N305" t="s">
        <v>22</v>
      </c>
      <c r="O305">
        <v>161.77000000000001</v>
      </c>
      <c r="P305">
        <v>318.70999999999998</v>
      </c>
      <c r="Q305" t="s">
        <v>52</v>
      </c>
      <c r="R305">
        <v>31.18</v>
      </c>
    </row>
    <row r="306" spans="1:18" x14ac:dyDescent="0.25">
      <c r="A306" t="s">
        <v>371</v>
      </c>
      <c r="B306" s="1">
        <v>40292</v>
      </c>
      <c r="C306">
        <v>2010</v>
      </c>
      <c r="D306" t="s">
        <v>36</v>
      </c>
      <c r="E306" t="str">
        <f t="shared" si="8"/>
        <v>South</v>
      </c>
      <c r="F306" t="s">
        <v>51</v>
      </c>
      <c r="G306" t="s">
        <v>19</v>
      </c>
      <c r="H306" t="s">
        <v>27</v>
      </c>
      <c r="I306">
        <v>1.02</v>
      </c>
      <c r="J306">
        <v>1.58</v>
      </c>
      <c r="K306">
        <v>1545.37</v>
      </c>
      <c r="L306" t="str">
        <f t="shared" si="9"/>
        <v>Low</v>
      </c>
      <c r="M306" t="s">
        <v>34</v>
      </c>
      <c r="N306" t="s">
        <v>22</v>
      </c>
      <c r="O306">
        <v>272.52999999999997</v>
      </c>
      <c r="P306">
        <v>762.33</v>
      </c>
      <c r="Q306" t="s">
        <v>52</v>
      </c>
      <c r="R306">
        <v>34.26</v>
      </c>
    </row>
    <row r="307" spans="1:18" x14ac:dyDescent="0.25">
      <c r="A307" t="s">
        <v>372</v>
      </c>
      <c r="B307" s="1">
        <v>43130</v>
      </c>
      <c r="C307">
        <v>2017</v>
      </c>
      <c r="D307" t="s">
        <v>44</v>
      </c>
      <c r="E307" t="str">
        <f t="shared" si="8"/>
        <v>East</v>
      </c>
      <c r="F307" t="s">
        <v>45</v>
      </c>
      <c r="G307" t="s">
        <v>38</v>
      </c>
      <c r="H307" t="s">
        <v>27</v>
      </c>
      <c r="I307">
        <v>76.97</v>
      </c>
      <c r="J307">
        <v>354.04</v>
      </c>
      <c r="K307">
        <v>4599.71</v>
      </c>
      <c r="L307" t="str">
        <f t="shared" si="9"/>
        <v>Medium</v>
      </c>
      <c r="M307" t="s">
        <v>34</v>
      </c>
      <c r="N307" t="s">
        <v>49</v>
      </c>
      <c r="O307">
        <v>228.98</v>
      </c>
      <c r="P307">
        <v>314.02</v>
      </c>
      <c r="Q307" t="s">
        <v>42</v>
      </c>
      <c r="R307">
        <v>20.03</v>
      </c>
    </row>
    <row r="308" spans="1:18" x14ac:dyDescent="0.25">
      <c r="A308" t="s">
        <v>373</v>
      </c>
      <c r="B308" s="1">
        <v>42134</v>
      </c>
      <c r="C308">
        <v>2015</v>
      </c>
      <c r="D308" t="s">
        <v>59</v>
      </c>
      <c r="E308" t="str">
        <f t="shared" si="8"/>
        <v>East</v>
      </c>
      <c r="F308" t="s">
        <v>93</v>
      </c>
      <c r="G308" t="s">
        <v>19</v>
      </c>
      <c r="H308" t="s">
        <v>64</v>
      </c>
      <c r="I308">
        <v>5.53</v>
      </c>
      <c r="J308">
        <v>10.98</v>
      </c>
      <c r="K308">
        <v>1984.93</v>
      </c>
      <c r="L308" t="str">
        <f t="shared" si="9"/>
        <v>Low</v>
      </c>
      <c r="M308" t="s">
        <v>40</v>
      </c>
      <c r="N308" t="s">
        <v>41</v>
      </c>
      <c r="O308">
        <v>255.46</v>
      </c>
      <c r="P308">
        <v>942.51</v>
      </c>
      <c r="Q308" t="s">
        <v>52</v>
      </c>
      <c r="R308">
        <v>21.6</v>
      </c>
    </row>
    <row r="309" spans="1:18" x14ac:dyDescent="0.25">
      <c r="A309" t="s">
        <v>374</v>
      </c>
      <c r="B309" s="1">
        <v>42637</v>
      </c>
      <c r="C309">
        <v>2016</v>
      </c>
      <c r="D309" t="s">
        <v>103</v>
      </c>
      <c r="E309" t="str">
        <f t="shared" si="8"/>
        <v>North</v>
      </c>
      <c r="F309" t="s">
        <v>104</v>
      </c>
      <c r="G309" t="s">
        <v>33</v>
      </c>
      <c r="H309" t="s">
        <v>46</v>
      </c>
      <c r="I309">
        <v>82.63</v>
      </c>
      <c r="J309">
        <v>177.11</v>
      </c>
      <c r="K309">
        <v>2143.4699999999998</v>
      </c>
      <c r="L309" t="str">
        <f t="shared" si="9"/>
        <v>Low</v>
      </c>
      <c r="M309" t="s">
        <v>34</v>
      </c>
      <c r="N309" t="s">
        <v>29</v>
      </c>
      <c r="O309">
        <v>76.94</v>
      </c>
      <c r="P309">
        <v>614.47</v>
      </c>
      <c r="Q309" t="s">
        <v>61</v>
      </c>
      <c r="R309">
        <v>21.85</v>
      </c>
    </row>
    <row r="310" spans="1:18" x14ac:dyDescent="0.25">
      <c r="A310" t="s">
        <v>375</v>
      </c>
      <c r="B310" s="1">
        <v>43297</v>
      </c>
      <c r="C310">
        <v>2018</v>
      </c>
      <c r="D310" t="s">
        <v>17</v>
      </c>
      <c r="E310" t="str">
        <f t="shared" si="8"/>
        <v>North</v>
      </c>
      <c r="F310" t="s">
        <v>54</v>
      </c>
      <c r="G310" t="s">
        <v>33</v>
      </c>
      <c r="H310" t="s">
        <v>46</v>
      </c>
      <c r="I310">
        <v>1.43</v>
      </c>
      <c r="J310">
        <v>7.75</v>
      </c>
      <c r="K310">
        <v>5417.28</v>
      </c>
      <c r="L310" t="str">
        <f t="shared" si="9"/>
        <v>High</v>
      </c>
      <c r="M310" t="s">
        <v>28</v>
      </c>
      <c r="N310" t="s">
        <v>47</v>
      </c>
      <c r="O310">
        <v>259.7</v>
      </c>
      <c r="P310">
        <v>682.93</v>
      </c>
      <c r="Q310" t="s">
        <v>61</v>
      </c>
      <c r="R310">
        <v>31.72</v>
      </c>
    </row>
    <row r="311" spans="1:18" x14ac:dyDescent="0.25">
      <c r="A311" t="s">
        <v>376</v>
      </c>
      <c r="B311" s="1">
        <v>41124</v>
      </c>
      <c r="C311">
        <v>2012</v>
      </c>
      <c r="D311" t="s">
        <v>103</v>
      </c>
      <c r="E311" t="str">
        <f t="shared" si="8"/>
        <v>North</v>
      </c>
      <c r="F311" t="s">
        <v>228</v>
      </c>
      <c r="G311" t="s">
        <v>33</v>
      </c>
      <c r="H311" t="s">
        <v>46</v>
      </c>
      <c r="I311">
        <v>66.09</v>
      </c>
      <c r="J311">
        <v>306.45999999999998</v>
      </c>
      <c r="K311">
        <v>4636.96</v>
      </c>
      <c r="L311" t="str">
        <f t="shared" si="9"/>
        <v>Medium</v>
      </c>
      <c r="M311" t="s">
        <v>34</v>
      </c>
      <c r="N311" t="s">
        <v>49</v>
      </c>
      <c r="O311">
        <v>176.03</v>
      </c>
      <c r="P311">
        <v>584.66</v>
      </c>
      <c r="Q311" t="s">
        <v>61</v>
      </c>
      <c r="R311">
        <v>33.74</v>
      </c>
    </row>
    <row r="312" spans="1:18" x14ac:dyDescent="0.25">
      <c r="A312" t="s">
        <v>377</v>
      </c>
      <c r="B312" s="1">
        <v>42085</v>
      </c>
      <c r="C312">
        <v>2014</v>
      </c>
      <c r="D312" t="s">
        <v>36</v>
      </c>
      <c r="E312" t="str">
        <f t="shared" si="8"/>
        <v>South</v>
      </c>
      <c r="F312" t="s">
        <v>51</v>
      </c>
      <c r="G312" t="s">
        <v>38</v>
      </c>
      <c r="H312" t="s">
        <v>56</v>
      </c>
      <c r="I312">
        <v>14.68</v>
      </c>
      <c r="J312">
        <v>67.75</v>
      </c>
      <c r="K312">
        <v>4615.1499999999996</v>
      </c>
      <c r="L312" t="str">
        <f t="shared" si="9"/>
        <v>Medium</v>
      </c>
      <c r="M312" t="s">
        <v>34</v>
      </c>
      <c r="N312" t="s">
        <v>41</v>
      </c>
      <c r="O312">
        <v>260.77</v>
      </c>
      <c r="P312">
        <v>747.81</v>
      </c>
      <c r="Q312" t="s">
        <v>70</v>
      </c>
      <c r="R312">
        <v>30.68</v>
      </c>
    </row>
    <row r="313" spans="1:18" x14ac:dyDescent="0.25">
      <c r="A313" t="s">
        <v>378</v>
      </c>
      <c r="B313" s="1">
        <v>43600</v>
      </c>
      <c r="C313">
        <v>2019</v>
      </c>
      <c r="D313" t="s">
        <v>103</v>
      </c>
      <c r="E313" t="str">
        <f t="shared" si="8"/>
        <v>North</v>
      </c>
      <c r="F313" t="s">
        <v>104</v>
      </c>
      <c r="G313" t="s">
        <v>19</v>
      </c>
      <c r="H313" t="s">
        <v>20</v>
      </c>
      <c r="I313">
        <v>68.97</v>
      </c>
      <c r="J313">
        <v>450.18</v>
      </c>
      <c r="K313">
        <v>6527.15</v>
      </c>
      <c r="L313" t="str">
        <f t="shared" si="9"/>
        <v>High</v>
      </c>
      <c r="M313" t="s">
        <v>40</v>
      </c>
      <c r="N313" t="s">
        <v>49</v>
      </c>
      <c r="O313">
        <v>295.33</v>
      </c>
      <c r="P313">
        <v>850.09</v>
      </c>
      <c r="Q313" t="s">
        <v>42</v>
      </c>
      <c r="R313">
        <v>27.56</v>
      </c>
    </row>
    <row r="314" spans="1:18" x14ac:dyDescent="0.25">
      <c r="A314" t="s">
        <v>379</v>
      </c>
      <c r="B314" s="1">
        <v>44974</v>
      </c>
      <c r="C314">
        <v>2022</v>
      </c>
      <c r="D314" t="s">
        <v>17</v>
      </c>
      <c r="E314" t="str">
        <f t="shared" si="8"/>
        <v>North</v>
      </c>
      <c r="F314" t="s">
        <v>18</v>
      </c>
      <c r="G314" t="s">
        <v>38</v>
      </c>
      <c r="H314" t="s">
        <v>27</v>
      </c>
      <c r="I314">
        <v>48.56</v>
      </c>
      <c r="J314">
        <v>214.82</v>
      </c>
      <c r="K314">
        <v>4423.83</v>
      </c>
      <c r="L314" t="str">
        <f t="shared" si="9"/>
        <v>Medium</v>
      </c>
      <c r="M314" t="s">
        <v>28</v>
      </c>
      <c r="N314" t="s">
        <v>22</v>
      </c>
      <c r="O314">
        <v>218.56</v>
      </c>
      <c r="P314">
        <v>1093.8699999999999</v>
      </c>
      <c r="Q314" t="s">
        <v>61</v>
      </c>
      <c r="R314">
        <v>24.29</v>
      </c>
    </row>
    <row r="315" spans="1:18" x14ac:dyDescent="0.25">
      <c r="A315" t="s">
        <v>380</v>
      </c>
      <c r="B315" s="1">
        <v>40520</v>
      </c>
      <c r="C315">
        <v>2010</v>
      </c>
      <c r="D315" t="s">
        <v>59</v>
      </c>
      <c r="E315" t="str">
        <f t="shared" si="8"/>
        <v>East</v>
      </c>
      <c r="F315" t="s">
        <v>60</v>
      </c>
      <c r="G315" t="s">
        <v>38</v>
      </c>
      <c r="H315" t="s">
        <v>56</v>
      </c>
      <c r="I315">
        <v>6.25</v>
      </c>
      <c r="J315">
        <v>8.3699999999999992</v>
      </c>
      <c r="K315">
        <v>1339.63</v>
      </c>
      <c r="L315" t="str">
        <f t="shared" si="9"/>
        <v>Low</v>
      </c>
      <c r="M315" t="s">
        <v>34</v>
      </c>
      <c r="N315" t="s">
        <v>22</v>
      </c>
      <c r="O315">
        <v>237.55</v>
      </c>
      <c r="P315">
        <v>360.94</v>
      </c>
      <c r="Q315" t="s">
        <v>70</v>
      </c>
      <c r="R315">
        <v>30.25</v>
      </c>
    </row>
    <row r="316" spans="1:18" x14ac:dyDescent="0.25">
      <c r="A316" t="s">
        <v>381</v>
      </c>
      <c r="B316" s="1">
        <v>41415</v>
      </c>
      <c r="C316">
        <v>2013</v>
      </c>
      <c r="D316" t="s">
        <v>17</v>
      </c>
      <c r="E316" t="str">
        <f t="shared" si="8"/>
        <v>North</v>
      </c>
      <c r="F316" t="s">
        <v>72</v>
      </c>
      <c r="G316" t="s">
        <v>19</v>
      </c>
      <c r="H316" t="s">
        <v>64</v>
      </c>
      <c r="I316">
        <v>36.51</v>
      </c>
      <c r="J316">
        <v>135.66</v>
      </c>
      <c r="K316">
        <v>3715.57</v>
      </c>
      <c r="L316" t="str">
        <f t="shared" si="9"/>
        <v>Medium</v>
      </c>
      <c r="M316" t="s">
        <v>40</v>
      </c>
      <c r="N316" t="s">
        <v>49</v>
      </c>
      <c r="O316">
        <v>235.6</v>
      </c>
      <c r="P316">
        <v>761.27</v>
      </c>
      <c r="Q316" t="s">
        <v>42</v>
      </c>
      <c r="R316">
        <v>27.66</v>
      </c>
    </row>
    <row r="317" spans="1:18" x14ac:dyDescent="0.25">
      <c r="A317" t="s">
        <v>382</v>
      </c>
      <c r="B317" s="1">
        <v>40596</v>
      </c>
      <c r="C317">
        <v>2010</v>
      </c>
      <c r="D317" t="s">
        <v>17</v>
      </c>
      <c r="E317" t="str">
        <f t="shared" si="8"/>
        <v>North</v>
      </c>
      <c r="F317" t="s">
        <v>54</v>
      </c>
      <c r="G317" t="s">
        <v>38</v>
      </c>
      <c r="H317" t="s">
        <v>46</v>
      </c>
      <c r="I317">
        <v>42.24</v>
      </c>
      <c r="J317">
        <v>241.98</v>
      </c>
      <c r="K317">
        <v>5728.67</v>
      </c>
      <c r="L317" t="str">
        <f t="shared" si="9"/>
        <v>High</v>
      </c>
      <c r="M317" t="s">
        <v>34</v>
      </c>
      <c r="N317" t="s">
        <v>41</v>
      </c>
      <c r="O317">
        <v>291.45999999999998</v>
      </c>
      <c r="P317">
        <v>253.8</v>
      </c>
      <c r="Q317" t="s">
        <v>70</v>
      </c>
      <c r="R317">
        <v>23.05</v>
      </c>
    </row>
    <row r="318" spans="1:18" x14ac:dyDescent="0.25">
      <c r="A318" t="s">
        <v>383</v>
      </c>
      <c r="B318" s="1">
        <v>44330</v>
      </c>
      <c r="C318">
        <v>2021</v>
      </c>
      <c r="D318" t="s">
        <v>17</v>
      </c>
      <c r="E318" t="str">
        <f t="shared" si="8"/>
        <v>North</v>
      </c>
      <c r="F318" t="s">
        <v>54</v>
      </c>
      <c r="G318" t="s">
        <v>19</v>
      </c>
      <c r="H318" t="s">
        <v>20</v>
      </c>
      <c r="I318">
        <v>75.760000000000005</v>
      </c>
      <c r="J318">
        <v>324.23</v>
      </c>
      <c r="K318">
        <v>4279.6899999999996</v>
      </c>
      <c r="L318" t="str">
        <f t="shared" si="9"/>
        <v>Medium</v>
      </c>
      <c r="M318" t="s">
        <v>40</v>
      </c>
      <c r="N318" t="s">
        <v>22</v>
      </c>
      <c r="O318">
        <v>244.04</v>
      </c>
      <c r="P318">
        <v>1164.29</v>
      </c>
      <c r="Q318" t="s">
        <v>70</v>
      </c>
      <c r="R318">
        <v>26.73</v>
      </c>
    </row>
    <row r="319" spans="1:18" x14ac:dyDescent="0.25">
      <c r="A319" t="s">
        <v>384</v>
      </c>
      <c r="B319" s="1">
        <v>44316</v>
      </c>
      <c r="C319">
        <v>2021</v>
      </c>
      <c r="D319" t="s">
        <v>103</v>
      </c>
      <c r="E319" t="str">
        <f t="shared" si="8"/>
        <v>North</v>
      </c>
      <c r="F319" t="s">
        <v>104</v>
      </c>
      <c r="G319" t="s">
        <v>19</v>
      </c>
      <c r="H319" t="s">
        <v>64</v>
      </c>
      <c r="I319">
        <v>38.340000000000003</v>
      </c>
      <c r="J319">
        <v>136.91</v>
      </c>
      <c r="K319">
        <v>3571.05</v>
      </c>
      <c r="L319" t="str">
        <f t="shared" si="9"/>
        <v>Medium</v>
      </c>
      <c r="M319" t="s">
        <v>34</v>
      </c>
      <c r="N319" t="s">
        <v>41</v>
      </c>
      <c r="O319">
        <v>82.52</v>
      </c>
      <c r="P319">
        <v>783.99</v>
      </c>
      <c r="Q319" t="s">
        <v>70</v>
      </c>
      <c r="R319">
        <v>20.079999999999998</v>
      </c>
    </row>
    <row r="320" spans="1:18" x14ac:dyDescent="0.25">
      <c r="A320" t="s">
        <v>385</v>
      </c>
      <c r="B320" s="1">
        <v>42140</v>
      </c>
      <c r="C320">
        <v>2015</v>
      </c>
      <c r="D320" t="s">
        <v>25</v>
      </c>
      <c r="E320" t="str">
        <f t="shared" si="8"/>
        <v>North</v>
      </c>
      <c r="F320" t="s">
        <v>26</v>
      </c>
      <c r="G320" t="s">
        <v>19</v>
      </c>
      <c r="H320" t="s">
        <v>64</v>
      </c>
      <c r="I320">
        <v>77.59</v>
      </c>
      <c r="J320">
        <v>368.72</v>
      </c>
      <c r="K320">
        <v>4752.2</v>
      </c>
      <c r="L320" t="str">
        <f t="shared" si="9"/>
        <v>Medium</v>
      </c>
      <c r="M320" t="s">
        <v>34</v>
      </c>
      <c r="N320" t="s">
        <v>49</v>
      </c>
      <c r="O320">
        <v>172.64</v>
      </c>
      <c r="P320">
        <v>772.68</v>
      </c>
      <c r="Q320" t="s">
        <v>70</v>
      </c>
      <c r="R320">
        <v>21.09</v>
      </c>
    </row>
    <row r="321" spans="1:18" x14ac:dyDescent="0.25">
      <c r="A321" t="s">
        <v>386</v>
      </c>
      <c r="B321" s="1">
        <v>41021</v>
      </c>
      <c r="C321">
        <v>2012</v>
      </c>
      <c r="D321" t="s">
        <v>59</v>
      </c>
      <c r="E321" t="str">
        <f t="shared" si="8"/>
        <v>East</v>
      </c>
      <c r="F321" t="s">
        <v>60</v>
      </c>
      <c r="G321" t="s">
        <v>19</v>
      </c>
      <c r="H321" t="s">
        <v>64</v>
      </c>
      <c r="I321">
        <v>78.84</v>
      </c>
      <c r="J321">
        <v>154.22999999999999</v>
      </c>
      <c r="K321">
        <v>1956.22</v>
      </c>
      <c r="L321" t="str">
        <f t="shared" si="9"/>
        <v>Low</v>
      </c>
      <c r="M321" t="s">
        <v>28</v>
      </c>
      <c r="N321" t="s">
        <v>49</v>
      </c>
      <c r="O321">
        <v>72.989999999999995</v>
      </c>
      <c r="P321">
        <v>421.2</v>
      </c>
      <c r="Q321" t="s">
        <v>42</v>
      </c>
      <c r="R321">
        <v>29.95</v>
      </c>
    </row>
    <row r="322" spans="1:18" x14ac:dyDescent="0.25">
      <c r="A322" t="s">
        <v>387</v>
      </c>
      <c r="B322" s="1">
        <v>44691</v>
      </c>
      <c r="C322">
        <v>2022</v>
      </c>
      <c r="D322" t="s">
        <v>31</v>
      </c>
      <c r="E322" t="str">
        <f t="shared" si="8"/>
        <v>West</v>
      </c>
      <c r="F322" t="s">
        <v>82</v>
      </c>
      <c r="G322" t="s">
        <v>19</v>
      </c>
      <c r="H322" t="s">
        <v>27</v>
      </c>
      <c r="I322">
        <v>48.01</v>
      </c>
      <c r="J322">
        <v>209.71</v>
      </c>
      <c r="K322">
        <v>4368.01</v>
      </c>
      <c r="L322" t="str">
        <f t="shared" si="9"/>
        <v>Medium</v>
      </c>
      <c r="M322" t="s">
        <v>21</v>
      </c>
      <c r="N322" t="s">
        <v>47</v>
      </c>
      <c r="O322">
        <v>78.680000000000007</v>
      </c>
      <c r="P322">
        <v>546.01</v>
      </c>
      <c r="Q322" t="s">
        <v>42</v>
      </c>
      <c r="R322">
        <v>33.57</v>
      </c>
    </row>
    <row r="323" spans="1:18" x14ac:dyDescent="0.25">
      <c r="A323" t="s">
        <v>388</v>
      </c>
      <c r="B323" s="1">
        <v>44231</v>
      </c>
      <c r="C323">
        <v>2020</v>
      </c>
      <c r="D323" t="s">
        <v>103</v>
      </c>
      <c r="E323" t="str">
        <f t="shared" ref="E323:E386" si="10">INDEX($U$2:$U$8,MATCH(D323,$T$2:$T$8,0))</f>
        <v>North</v>
      </c>
      <c r="F323" t="s">
        <v>104</v>
      </c>
      <c r="G323" t="s">
        <v>38</v>
      </c>
      <c r="H323" t="s">
        <v>46</v>
      </c>
      <c r="I323">
        <v>91.68</v>
      </c>
      <c r="J323">
        <v>611.5</v>
      </c>
      <c r="K323">
        <v>6669.93</v>
      </c>
      <c r="L323" t="str">
        <f t="shared" ref="L323:L386" si="11">IF(K323&gt;=5000,"High",IF(K323&gt;=3000,"Medium","Low"))</f>
        <v>High</v>
      </c>
      <c r="M323" t="s">
        <v>28</v>
      </c>
      <c r="N323" t="s">
        <v>47</v>
      </c>
      <c r="O323">
        <v>114.15</v>
      </c>
      <c r="P323">
        <v>923.98</v>
      </c>
      <c r="Q323" t="s">
        <v>23</v>
      </c>
      <c r="R323">
        <v>33.67</v>
      </c>
    </row>
    <row r="324" spans="1:18" x14ac:dyDescent="0.25">
      <c r="A324" t="s">
        <v>389</v>
      </c>
      <c r="B324" s="1">
        <v>43177</v>
      </c>
      <c r="C324">
        <v>2017</v>
      </c>
      <c r="D324" t="s">
        <v>44</v>
      </c>
      <c r="E324" t="str">
        <f t="shared" si="10"/>
        <v>East</v>
      </c>
      <c r="F324" t="s">
        <v>67</v>
      </c>
      <c r="G324" t="s">
        <v>38</v>
      </c>
      <c r="H324" t="s">
        <v>64</v>
      </c>
      <c r="I324">
        <v>30.35</v>
      </c>
      <c r="J324">
        <v>148.99</v>
      </c>
      <c r="K324">
        <v>4909.17</v>
      </c>
      <c r="L324" t="str">
        <f t="shared" si="11"/>
        <v>Medium</v>
      </c>
      <c r="M324" t="s">
        <v>34</v>
      </c>
      <c r="N324" t="s">
        <v>47</v>
      </c>
      <c r="O324">
        <v>178.47</v>
      </c>
      <c r="P324">
        <v>1148.21</v>
      </c>
      <c r="Q324" t="s">
        <v>42</v>
      </c>
      <c r="R324">
        <v>34.57</v>
      </c>
    </row>
    <row r="325" spans="1:18" x14ac:dyDescent="0.25">
      <c r="A325" t="s">
        <v>390</v>
      </c>
      <c r="B325" s="1">
        <v>40713</v>
      </c>
      <c r="C325">
        <v>2011</v>
      </c>
      <c r="D325" t="s">
        <v>25</v>
      </c>
      <c r="E325" t="str">
        <f t="shared" si="10"/>
        <v>North</v>
      </c>
      <c r="F325" t="s">
        <v>69</v>
      </c>
      <c r="G325" t="s">
        <v>33</v>
      </c>
      <c r="H325" t="s">
        <v>39</v>
      </c>
      <c r="I325">
        <v>63.32</v>
      </c>
      <c r="J325">
        <v>144.31</v>
      </c>
      <c r="K325">
        <v>2279.0500000000002</v>
      </c>
      <c r="L325" t="str">
        <f t="shared" si="11"/>
        <v>Low</v>
      </c>
      <c r="M325" t="s">
        <v>28</v>
      </c>
      <c r="N325" t="s">
        <v>41</v>
      </c>
      <c r="O325">
        <v>258.92</v>
      </c>
      <c r="P325">
        <v>405.58</v>
      </c>
      <c r="Q325" t="s">
        <v>52</v>
      </c>
      <c r="R325">
        <v>29.7</v>
      </c>
    </row>
    <row r="326" spans="1:18" x14ac:dyDescent="0.25">
      <c r="A326" t="s">
        <v>391</v>
      </c>
      <c r="B326" s="1">
        <v>44605</v>
      </c>
      <c r="C326">
        <v>2021</v>
      </c>
      <c r="D326" t="s">
        <v>25</v>
      </c>
      <c r="E326" t="str">
        <f t="shared" si="10"/>
        <v>North</v>
      </c>
      <c r="F326" t="s">
        <v>87</v>
      </c>
      <c r="G326" t="s">
        <v>38</v>
      </c>
      <c r="H326" t="s">
        <v>64</v>
      </c>
      <c r="I326">
        <v>9.66</v>
      </c>
      <c r="J326">
        <v>12.81</v>
      </c>
      <c r="K326">
        <v>1325.61</v>
      </c>
      <c r="L326" t="str">
        <f t="shared" si="11"/>
        <v>Low</v>
      </c>
      <c r="M326" t="s">
        <v>34</v>
      </c>
      <c r="N326" t="s">
        <v>29</v>
      </c>
      <c r="O326">
        <v>189.52</v>
      </c>
      <c r="P326">
        <v>774.96</v>
      </c>
      <c r="Q326" t="s">
        <v>42</v>
      </c>
      <c r="R326">
        <v>33.659999999999997</v>
      </c>
    </row>
    <row r="327" spans="1:18" x14ac:dyDescent="0.25">
      <c r="A327" t="s">
        <v>392</v>
      </c>
      <c r="B327" s="1">
        <v>42693</v>
      </c>
      <c r="C327">
        <v>2016</v>
      </c>
      <c r="D327" t="s">
        <v>36</v>
      </c>
      <c r="E327" t="str">
        <f t="shared" si="10"/>
        <v>South</v>
      </c>
      <c r="F327" t="s">
        <v>77</v>
      </c>
      <c r="G327" t="s">
        <v>38</v>
      </c>
      <c r="H327" t="s">
        <v>20</v>
      </c>
      <c r="I327">
        <v>2.67</v>
      </c>
      <c r="J327">
        <v>13.46</v>
      </c>
      <c r="K327">
        <v>5039.79</v>
      </c>
      <c r="L327" t="str">
        <f t="shared" si="11"/>
        <v>High</v>
      </c>
      <c r="M327" t="s">
        <v>21</v>
      </c>
      <c r="N327" t="s">
        <v>49</v>
      </c>
      <c r="O327">
        <v>210.36</v>
      </c>
      <c r="P327">
        <v>818.35</v>
      </c>
      <c r="Q327" t="s">
        <v>61</v>
      </c>
      <c r="R327">
        <v>20.68</v>
      </c>
    </row>
    <row r="328" spans="1:18" x14ac:dyDescent="0.25">
      <c r="A328" t="s">
        <v>393</v>
      </c>
      <c r="B328" s="1">
        <v>41764</v>
      </c>
      <c r="C328">
        <v>2014</v>
      </c>
      <c r="D328" t="s">
        <v>59</v>
      </c>
      <c r="E328" t="str">
        <f t="shared" si="10"/>
        <v>East</v>
      </c>
      <c r="F328" t="s">
        <v>60</v>
      </c>
      <c r="G328" t="s">
        <v>19</v>
      </c>
      <c r="H328" t="s">
        <v>20</v>
      </c>
      <c r="I328">
        <v>61.05</v>
      </c>
      <c r="J328">
        <v>164.17</v>
      </c>
      <c r="K328">
        <v>2689.1</v>
      </c>
      <c r="L328" t="str">
        <f t="shared" si="11"/>
        <v>Low</v>
      </c>
      <c r="M328" t="s">
        <v>28</v>
      </c>
      <c r="N328" t="s">
        <v>41</v>
      </c>
      <c r="O328">
        <v>145.35</v>
      </c>
      <c r="P328">
        <v>1022.12</v>
      </c>
      <c r="Q328" t="s">
        <v>23</v>
      </c>
      <c r="R328">
        <v>27.11</v>
      </c>
    </row>
    <row r="329" spans="1:18" x14ac:dyDescent="0.25">
      <c r="A329" t="s">
        <v>394</v>
      </c>
      <c r="B329" s="1">
        <v>42463</v>
      </c>
      <c r="C329">
        <v>2016</v>
      </c>
      <c r="D329" t="s">
        <v>103</v>
      </c>
      <c r="E329" t="str">
        <f t="shared" si="10"/>
        <v>North</v>
      </c>
      <c r="F329" t="s">
        <v>228</v>
      </c>
      <c r="G329" t="s">
        <v>19</v>
      </c>
      <c r="H329" t="s">
        <v>20</v>
      </c>
      <c r="I329">
        <v>96.05</v>
      </c>
      <c r="J329">
        <v>179.08</v>
      </c>
      <c r="K329">
        <v>1864.45</v>
      </c>
      <c r="L329" t="str">
        <f t="shared" si="11"/>
        <v>Low</v>
      </c>
      <c r="M329" t="s">
        <v>34</v>
      </c>
      <c r="N329" t="s">
        <v>22</v>
      </c>
      <c r="O329">
        <v>289.35000000000002</v>
      </c>
      <c r="P329">
        <v>211.15</v>
      </c>
      <c r="Q329" t="s">
        <v>61</v>
      </c>
      <c r="R329">
        <v>22.12</v>
      </c>
    </row>
    <row r="330" spans="1:18" x14ac:dyDescent="0.25">
      <c r="A330" t="s">
        <v>395</v>
      </c>
      <c r="B330" s="1">
        <v>42472</v>
      </c>
      <c r="C330">
        <v>2016</v>
      </c>
      <c r="D330" t="s">
        <v>59</v>
      </c>
      <c r="E330" t="str">
        <f t="shared" si="10"/>
        <v>East</v>
      </c>
      <c r="F330" t="s">
        <v>93</v>
      </c>
      <c r="G330" t="s">
        <v>19</v>
      </c>
      <c r="H330" t="s">
        <v>27</v>
      </c>
      <c r="I330">
        <v>94.75</v>
      </c>
      <c r="J330">
        <v>267.97000000000003</v>
      </c>
      <c r="K330">
        <v>2828.15</v>
      </c>
      <c r="L330" t="str">
        <f t="shared" si="11"/>
        <v>Low</v>
      </c>
      <c r="M330" t="s">
        <v>34</v>
      </c>
      <c r="N330" t="s">
        <v>41</v>
      </c>
      <c r="O330">
        <v>102.93</v>
      </c>
      <c r="P330">
        <v>1105.6300000000001</v>
      </c>
      <c r="Q330" t="s">
        <v>61</v>
      </c>
      <c r="R330">
        <v>22.14</v>
      </c>
    </row>
    <row r="331" spans="1:18" x14ac:dyDescent="0.25">
      <c r="A331" t="s">
        <v>396</v>
      </c>
      <c r="B331" s="1">
        <v>41566</v>
      </c>
      <c r="C331">
        <v>2013</v>
      </c>
      <c r="D331" t="s">
        <v>59</v>
      </c>
      <c r="E331" t="str">
        <f t="shared" si="10"/>
        <v>East</v>
      </c>
      <c r="F331" t="s">
        <v>63</v>
      </c>
      <c r="G331" t="s">
        <v>33</v>
      </c>
      <c r="H331" t="s">
        <v>56</v>
      </c>
      <c r="I331">
        <v>67.430000000000007</v>
      </c>
      <c r="J331">
        <v>296.95</v>
      </c>
      <c r="K331">
        <v>4403.76</v>
      </c>
      <c r="L331" t="str">
        <f t="shared" si="11"/>
        <v>Medium</v>
      </c>
      <c r="M331" t="s">
        <v>21</v>
      </c>
      <c r="N331" t="s">
        <v>22</v>
      </c>
      <c r="O331">
        <v>262.85000000000002</v>
      </c>
      <c r="P331">
        <v>1132.3699999999999</v>
      </c>
      <c r="Q331" t="s">
        <v>61</v>
      </c>
      <c r="R331">
        <v>26.92</v>
      </c>
    </row>
    <row r="332" spans="1:18" x14ac:dyDescent="0.25">
      <c r="A332" t="s">
        <v>397</v>
      </c>
      <c r="B332" s="1">
        <v>40865</v>
      </c>
      <c r="C332">
        <v>2011</v>
      </c>
      <c r="D332" t="s">
        <v>31</v>
      </c>
      <c r="E332" t="str">
        <f t="shared" si="10"/>
        <v>West</v>
      </c>
      <c r="F332" t="s">
        <v>117</v>
      </c>
      <c r="G332" t="s">
        <v>38</v>
      </c>
      <c r="H332" t="s">
        <v>64</v>
      </c>
      <c r="I332">
        <v>20.54</v>
      </c>
      <c r="J332">
        <v>92.09</v>
      </c>
      <c r="K332">
        <v>4483.57</v>
      </c>
      <c r="L332" t="str">
        <f t="shared" si="11"/>
        <v>Medium</v>
      </c>
      <c r="M332" t="s">
        <v>34</v>
      </c>
      <c r="N332" t="s">
        <v>41</v>
      </c>
      <c r="O332">
        <v>139.28</v>
      </c>
      <c r="P332">
        <v>871.3</v>
      </c>
      <c r="Q332" t="s">
        <v>42</v>
      </c>
      <c r="R332">
        <v>21.5</v>
      </c>
    </row>
    <row r="333" spans="1:18" x14ac:dyDescent="0.25">
      <c r="A333" t="s">
        <v>398</v>
      </c>
      <c r="B333" s="1">
        <v>43083</v>
      </c>
      <c r="C333">
        <v>2017</v>
      </c>
      <c r="D333" t="s">
        <v>31</v>
      </c>
      <c r="E333" t="str">
        <f t="shared" si="10"/>
        <v>West</v>
      </c>
      <c r="F333" t="s">
        <v>32</v>
      </c>
      <c r="G333" t="s">
        <v>38</v>
      </c>
      <c r="H333" t="s">
        <v>27</v>
      </c>
      <c r="I333">
        <v>66.28</v>
      </c>
      <c r="J333">
        <v>342.05</v>
      </c>
      <c r="K333">
        <v>5160.75</v>
      </c>
      <c r="L333" t="str">
        <f t="shared" si="11"/>
        <v>High</v>
      </c>
      <c r="M333" t="s">
        <v>40</v>
      </c>
      <c r="N333" t="s">
        <v>22</v>
      </c>
      <c r="O333">
        <v>191.39</v>
      </c>
      <c r="P333">
        <v>564.49</v>
      </c>
      <c r="Q333" t="s">
        <v>70</v>
      </c>
      <c r="R333">
        <v>34.380000000000003</v>
      </c>
    </row>
    <row r="334" spans="1:18" x14ac:dyDescent="0.25">
      <c r="A334" t="s">
        <v>399</v>
      </c>
      <c r="B334" s="1">
        <v>44804</v>
      </c>
      <c r="C334">
        <v>2022</v>
      </c>
      <c r="D334" t="s">
        <v>31</v>
      </c>
      <c r="E334" t="str">
        <f t="shared" si="10"/>
        <v>West</v>
      </c>
      <c r="F334" t="s">
        <v>82</v>
      </c>
      <c r="G334" t="s">
        <v>33</v>
      </c>
      <c r="H334" t="s">
        <v>39</v>
      </c>
      <c r="I334">
        <v>74.239999999999995</v>
      </c>
      <c r="J334">
        <v>268.51</v>
      </c>
      <c r="K334">
        <v>3616.74</v>
      </c>
      <c r="L334" t="str">
        <f t="shared" si="11"/>
        <v>Medium</v>
      </c>
      <c r="M334" t="s">
        <v>34</v>
      </c>
      <c r="N334" t="s">
        <v>49</v>
      </c>
      <c r="O334">
        <v>83.58</v>
      </c>
      <c r="P334">
        <v>932.97</v>
      </c>
      <c r="Q334" t="s">
        <v>52</v>
      </c>
      <c r="R334">
        <v>26.94</v>
      </c>
    </row>
    <row r="335" spans="1:18" x14ac:dyDescent="0.25">
      <c r="A335" t="s">
        <v>400</v>
      </c>
      <c r="B335" s="1">
        <v>40699</v>
      </c>
      <c r="C335">
        <v>2011</v>
      </c>
      <c r="D335" t="s">
        <v>36</v>
      </c>
      <c r="E335" t="str">
        <f t="shared" si="10"/>
        <v>South</v>
      </c>
      <c r="F335" t="s">
        <v>77</v>
      </c>
      <c r="G335" t="s">
        <v>33</v>
      </c>
      <c r="H335" t="s">
        <v>39</v>
      </c>
      <c r="I335">
        <v>61.06</v>
      </c>
      <c r="J335">
        <v>369.46</v>
      </c>
      <c r="K335">
        <v>6050.76</v>
      </c>
      <c r="L335" t="str">
        <f t="shared" si="11"/>
        <v>High</v>
      </c>
      <c r="M335" t="s">
        <v>40</v>
      </c>
      <c r="N335" t="s">
        <v>47</v>
      </c>
      <c r="O335">
        <v>272.82</v>
      </c>
      <c r="P335">
        <v>396.43</v>
      </c>
      <c r="Q335" t="s">
        <v>23</v>
      </c>
      <c r="R335">
        <v>30.91</v>
      </c>
    </row>
    <row r="336" spans="1:18" x14ac:dyDescent="0.25">
      <c r="A336" t="s">
        <v>401</v>
      </c>
      <c r="B336" s="1">
        <v>43605</v>
      </c>
      <c r="C336">
        <v>2019</v>
      </c>
      <c r="D336" t="s">
        <v>17</v>
      </c>
      <c r="E336" t="str">
        <f t="shared" si="10"/>
        <v>North</v>
      </c>
      <c r="F336" t="s">
        <v>18</v>
      </c>
      <c r="G336" t="s">
        <v>19</v>
      </c>
      <c r="H336" t="s">
        <v>46</v>
      </c>
      <c r="I336">
        <v>77.150000000000006</v>
      </c>
      <c r="J336">
        <v>175.64</v>
      </c>
      <c r="K336">
        <v>2276.56</v>
      </c>
      <c r="L336" t="str">
        <f t="shared" si="11"/>
        <v>Low</v>
      </c>
      <c r="M336" t="s">
        <v>21</v>
      </c>
      <c r="N336" t="s">
        <v>41</v>
      </c>
      <c r="O336">
        <v>187.9</v>
      </c>
      <c r="P336">
        <v>743.47</v>
      </c>
      <c r="Q336" t="s">
        <v>61</v>
      </c>
      <c r="R336">
        <v>27.08</v>
      </c>
    </row>
    <row r="337" spans="1:18" x14ac:dyDescent="0.25">
      <c r="A337" t="s">
        <v>402</v>
      </c>
      <c r="B337" s="1">
        <v>41416</v>
      </c>
      <c r="C337">
        <v>2013</v>
      </c>
      <c r="D337" t="s">
        <v>31</v>
      </c>
      <c r="E337" t="str">
        <f t="shared" si="10"/>
        <v>West</v>
      </c>
      <c r="F337" t="s">
        <v>32</v>
      </c>
      <c r="G337" t="s">
        <v>19</v>
      </c>
      <c r="H337" t="s">
        <v>39</v>
      </c>
      <c r="I337">
        <v>85.86</v>
      </c>
      <c r="J337">
        <v>154.83000000000001</v>
      </c>
      <c r="K337">
        <v>1803.29</v>
      </c>
      <c r="L337" t="str">
        <f t="shared" si="11"/>
        <v>Low</v>
      </c>
      <c r="M337" t="s">
        <v>21</v>
      </c>
      <c r="N337" t="s">
        <v>47</v>
      </c>
      <c r="O337">
        <v>149.19999999999999</v>
      </c>
      <c r="P337">
        <v>702.17</v>
      </c>
      <c r="Q337" t="s">
        <v>42</v>
      </c>
      <c r="R337">
        <v>32.72</v>
      </c>
    </row>
    <row r="338" spans="1:18" x14ac:dyDescent="0.25">
      <c r="A338" t="s">
        <v>403</v>
      </c>
      <c r="B338" s="1">
        <v>44700</v>
      </c>
      <c r="C338">
        <v>2022</v>
      </c>
      <c r="D338" t="s">
        <v>17</v>
      </c>
      <c r="E338" t="str">
        <f t="shared" si="10"/>
        <v>North</v>
      </c>
      <c r="F338" t="s">
        <v>18</v>
      </c>
      <c r="G338" t="s">
        <v>19</v>
      </c>
      <c r="H338" t="s">
        <v>56</v>
      </c>
      <c r="I338">
        <v>45.18</v>
      </c>
      <c r="J338">
        <v>93.74</v>
      </c>
      <c r="K338">
        <v>2074.87</v>
      </c>
      <c r="L338" t="str">
        <f t="shared" si="11"/>
        <v>Low</v>
      </c>
      <c r="M338" t="s">
        <v>40</v>
      </c>
      <c r="N338" t="s">
        <v>29</v>
      </c>
      <c r="O338">
        <v>233.98</v>
      </c>
      <c r="P338">
        <v>683.5</v>
      </c>
      <c r="Q338" t="s">
        <v>70</v>
      </c>
      <c r="R338">
        <v>20.61</v>
      </c>
    </row>
    <row r="339" spans="1:18" x14ac:dyDescent="0.25">
      <c r="A339" t="s">
        <v>404</v>
      </c>
      <c r="B339" s="1">
        <v>42026</v>
      </c>
      <c r="C339">
        <v>2014</v>
      </c>
      <c r="D339" t="s">
        <v>103</v>
      </c>
      <c r="E339" t="str">
        <f t="shared" si="10"/>
        <v>North</v>
      </c>
      <c r="F339" t="s">
        <v>104</v>
      </c>
      <c r="G339" t="s">
        <v>38</v>
      </c>
      <c r="H339" t="s">
        <v>56</v>
      </c>
      <c r="I339">
        <v>5.24</v>
      </c>
      <c r="J339">
        <v>11.74</v>
      </c>
      <c r="K339">
        <v>2240.64</v>
      </c>
      <c r="L339" t="str">
        <f t="shared" si="11"/>
        <v>Low</v>
      </c>
      <c r="M339" t="s">
        <v>34</v>
      </c>
      <c r="N339" t="s">
        <v>22</v>
      </c>
      <c r="O339">
        <v>147.02000000000001</v>
      </c>
      <c r="P339">
        <v>1117.9000000000001</v>
      </c>
      <c r="Q339" t="s">
        <v>23</v>
      </c>
      <c r="R339">
        <v>20.6</v>
      </c>
    </row>
    <row r="340" spans="1:18" x14ac:dyDescent="0.25">
      <c r="A340" t="s">
        <v>405</v>
      </c>
      <c r="B340" s="1">
        <v>44155</v>
      </c>
      <c r="C340">
        <v>2020</v>
      </c>
      <c r="D340" t="s">
        <v>17</v>
      </c>
      <c r="E340" t="str">
        <f t="shared" si="10"/>
        <v>North</v>
      </c>
      <c r="F340" t="s">
        <v>54</v>
      </c>
      <c r="G340" t="s">
        <v>38</v>
      </c>
      <c r="H340" t="s">
        <v>39</v>
      </c>
      <c r="I340">
        <v>27.07</v>
      </c>
      <c r="J340">
        <v>115.48</v>
      </c>
      <c r="K340">
        <v>4266.1000000000004</v>
      </c>
      <c r="L340" t="str">
        <f t="shared" si="11"/>
        <v>Medium</v>
      </c>
      <c r="M340" t="s">
        <v>40</v>
      </c>
      <c r="N340" t="s">
        <v>47</v>
      </c>
      <c r="O340">
        <v>144.16</v>
      </c>
      <c r="P340">
        <v>578.52</v>
      </c>
      <c r="Q340" t="s">
        <v>61</v>
      </c>
      <c r="R340">
        <v>29.8</v>
      </c>
    </row>
    <row r="341" spans="1:18" x14ac:dyDescent="0.25">
      <c r="A341" t="s">
        <v>406</v>
      </c>
      <c r="B341" s="1">
        <v>41373</v>
      </c>
      <c r="C341">
        <v>2013</v>
      </c>
      <c r="D341" t="s">
        <v>31</v>
      </c>
      <c r="E341" t="str">
        <f t="shared" si="10"/>
        <v>West</v>
      </c>
      <c r="F341" t="s">
        <v>32</v>
      </c>
      <c r="G341" t="s">
        <v>19</v>
      </c>
      <c r="H341" t="s">
        <v>46</v>
      </c>
      <c r="I341">
        <v>35.94</v>
      </c>
      <c r="J341">
        <v>223.06</v>
      </c>
      <c r="K341">
        <v>6206.32</v>
      </c>
      <c r="L341" t="str">
        <f t="shared" si="11"/>
        <v>High</v>
      </c>
      <c r="M341" t="s">
        <v>28</v>
      </c>
      <c r="N341" t="s">
        <v>29</v>
      </c>
      <c r="O341">
        <v>248.16</v>
      </c>
      <c r="P341">
        <v>1087.17</v>
      </c>
      <c r="Q341" t="s">
        <v>23</v>
      </c>
      <c r="R341">
        <v>27.53</v>
      </c>
    </row>
    <row r="342" spans="1:18" x14ac:dyDescent="0.25">
      <c r="A342" t="s">
        <v>407</v>
      </c>
      <c r="B342" s="1">
        <v>40660</v>
      </c>
      <c r="C342">
        <v>2011</v>
      </c>
      <c r="D342" t="s">
        <v>103</v>
      </c>
      <c r="E342" t="str">
        <f t="shared" si="10"/>
        <v>North</v>
      </c>
      <c r="F342" t="s">
        <v>104</v>
      </c>
      <c r="G342" t="s">
        <v>19</v>
      </c>
      <c r="H342" t="s">
        <v>39</v>
      </c>
      <c r="I342">
        <v>28.8</v>
      </c>
      <c r="J342">
        <v>54.76</v>
      </c>
      <c r="K342">
        <v>1901.44</v>
      </c>
      <c r="L342" t="str">
        <f t="shared" si="11"/>
        <v>Low</v>
      </c>
      <c r="M342" t="s">
        <v>40</v>
      </c>
      <c r="N342" t="s">
        <v>49</v>
      </c>
      <c r="O342">
        <v>140.56</v>
      </c>
      <c r="P342">
        <v>917.3</v>
      </c>
      <c r="Q342" t="s">
        <v>23</v>
      </c>
      <c r="R342">
        <v>29.92</v>
      </c>
    </row>
    <row r="343" spans="1:18" x14ac:dyDescent="0.25">
      <c r="A343" t="s">
        <v>408</v>
      </c>
      <c r="B343" s="1">
        <v>42834</v>
      </c>
      <c r="C343">
        <v>2017</v>
      </c>
      <c r="D343" t="s">
        <v>17</v>
      </c>
      <c r="E343" t="str">
        <f t="shared" si="10"/>
        <v>North</v>
      </c>
      <c r="F343" t="s">
        <v>18</v>
      </c>
      <c r="G343" t="s">
        <v>19</v>
      </c>
      <c r="H343" t="s">
        <v>46</v>
      </c>
      <c r="I343">
        <v>48.42</v>
      </c>
      <c r="J343">
        <v>220.06</v>
      </c>
      <c r="K343">
        <v>4544.75</v>
      </c>
      <c r="L343" t="str">
        <f t="shared" si="11"/>
        <v>Medium</v>
      </c>
      <c r="M343" t="s">
        <v>28</v>
      </c>
      <c r="N343" t="s">
        <v>47</v>
      </c>
      <c r="O343">
        <v>55.61</v>
      </c>
      <c r="P343">
        <v>243.14</v>
      </c>
      <c r="Q343" t="s">
        <v>61</v>
      </c>
      <c r="R343">
        <v>28.89</v>
      </c>
    </row>
    <row r="344" spans="1:18" x14ac:dyDescent="0.25">
      <c r="A344" t="s">
        <v>409</v>
      </c>
      <c r="B344" s="1">
        <v>41133</v>
      </c>
      <c r="C344">
        <v>2012</v>
      </c>
      <c r="D344" t="s">
        <v>25</v>
      </c>
      <c r="E344" t="str">
        <f t="shared" si="10"/>
        <v>North</v>
      </c>
      <c r="F344" t="s">
        <v>69</v>
      </c>
      <c r="G344" t="s">
        <v>33</v>
      </c>
      <c r="H344" t="s">
        <v>56</v>
      </c>
      <c r="I344">
        <v>26.57</v>
      </c>
      <c r="J344">
        <v>55.27</v>
      </c>
      <c r="K344">
        <v>2080.23</v>
      </c>
      <c r="L344" t="str">
        <f t="shared" si="11"/>
        <v>Low</v>
      </c>
      <c r="M344" t="s">
        <v>28</v>
      </c>
      <c r="N344" t="s">
        <v>22</v>
      </c>
      <c r="O344">
        <v>199.84</v>
      </c>
      <c r="P344">
        <v>763.6</v>
      </c>
      <c r="Q344" t="s">
        <v>23</v>
      </c>
      <c r="R344">
        <v>33.18</v>
      </c>
    </row>
    <row r="345" spans="1:18" x14ac:dyDescent="0.25">
      <c r="A345" t="s">
        <v>410</v>
      </c>
      <c r="B345" s="1">
        <v>43900</v>
      </c>
      <c r="C345">
        <v>2019</v>
      </c>
      <c r="D345" t="s">
        <v>103</v>
      </c>
      <c r="E345" t="str">
        <f t="shared" si="10"/>
        <v>North</v>
      </c>
      <c r="F345" t="s">
        <v>107</v>
      </c>
      <c r="G345" t="s">
        <v>38</v>
      </c>
      <c r="H345" t="s">
        <v>46</v>
      </c>
      <c r="I345">
        <v>17.89</v>
      </c>
      <c r="J345">
        <v>107.02</v>
      </c>
      <c r="K345">
        <v>5982.18</v>
      </c>
      <c r="L345" t="str">
        <f t="shared" si="11"/>
        <v>High</v>
      </c>
      <c r="M345" t="s">
        <v>40</v>
      </c>
      <c r="N345" t="s">
        <v>49</v>
      </c>
      <c r="O345">
        <v>248.65</v>
      </c>
      <c r="P345">
        <v>1020.45</v>
      </c>
      <c r="Q345" t="s">
        <v>42</v>
      </c>
      <c r="R345">
        <v>29.35</v>
      </c>
    </row>
    <row r="346" spans="1:18" x14ac:dyDescent="0.25">
      <c r="A346" t="s">
        <v>411</v>
      </c>
      <c r="B346" s="1">
        <v>44265</v>
      </c>
      <c r="C346">
        <v>2020</v>
      </c>
      <c r="D346" t="s">
        <v>103</v>
      </c>
      <c r="E346" t="str">
        <f t="shared" si="10"/>
        <v>North</v>
      </c>
      <c r="F346" t="s">
        <v>228</v>
      </c>
      <c r="G346" t="s">
        <v>38</v>
      </c>
      <c r="H346" t="s">
        <v>46</v>
      </c>
      <c r="I346">
        <v>60.06</v>
      </c>
      <c r="J346">
        <v>84.87</v>
      </c>
      <c r="K346">
        <v>1413.06</v>
      </c>
      <c r="L346" t="str">
        <f t="shared" si="11"/>
        <v>Low</v>
      </c>
      <c r="M346" t="s">
        <v>28</v>
      </c>
      <c r="N346" t="s">
        <v>29</v>
      </c>
      <c r="O346">
        <v>146.37</v>
      </c>
      <c r="P346">
        <v>308.57</v>
      </c>
      <c r="Q346" t="s">
        <v>42</v>
      </c>
      <c r="R346">
        <v>27.84</v>
      </c>
    </row>
    <row r="347" spans="1:18" x14ac:dyDescent="0.25">
      <c r="A347" t="s">
        <v>412</v>
      </c>
      <c r="B347" s="1">
        <v>43650</v>
      </c>
      <c r="C347">
        <v>2019</v>
      </c>
      <c r="D347" t="s">
        <v>44</v>
      </c>
      <c r="E347" t="str">
        <f t="shared" si="10"/>
        <v>East</v>
      </c>
      <c r="F347" t="s">
        <v>45</v>
      </c>
      <c r="G347" t="s">
        <v>33</v>
      </c>
      <c r="H347" t="s">
        <v>56</v>
      </c>
      <c r="I347">
        <v>48.11</v>
      </c>
      <c r="J347">
        <v>225.56</v>
      </c>
      <c r="K347">
        <v>4688.49</v>
      </c>
      <c r="L347" t="str">
        <f t="shared" si="11"/>
        <v>Medium</v>
      </c>
      <c r="M347" t="s">
        <v>21</v>
      </c>
      <c r="N347" t="s">
        <v>47</v>
      </c>
      <c r="O347">
        <v>269.44</v>
      </c>
      <c r="P347">
        <v>731.43</v>
      </c>
      <c r="Q347" t="s">
        <v>23</v>
      </c>
      <c r="R347">
        <v>21.4</v>
      </c>
    </row>
    <row r="348" spans="1:18" x14ac:dyDescent="0.25">
      <c r="A348" t="s">
        <v>413</v>
      </c>
      <c r="B348" s="1">
        <v>44676</v>
      </c>
      <c r="C348">
        <v>2022</v>
      </c>
      <c r="D348" t="s">
        <v>59</v>
      </c>
      <c r="E348" t="str">
        <f t="shared" si="10"/>
        <v>East</v>
      </c>
      <c r="F348" t="s">
        <v>60</v>
      </c>
      <c r="G348" t="s">
        <v>19</v>
      </c>
      <c r="H348" t="s">
        <v>39</v>
      </c>
      <c r="I348">
        <v>43.72</v>
      </c>
      <c r="J348">
        <v>154.07</v>
      </c>
      <c r="K348">
        <v>3524.1</v>
      </c>
      <c r="L348" t="str">
        <f t="shared" si="11"/>
        <v>Medium</v>
      </c>
      <c r="M348" t="s">
        <v>21</v>
      </c>
      <c r="N348" t="s">
        <v>49</v>
      </c>
      <c r="O348">
        <v>224.41</v>
      </c>
      <c r="P348">
        <v>628.96</v>
      </c>
      <c r="Q348" t="s">
        <v>52</v>
      </c>
      <c r="R348">
        <v>31.84</v>
      </c>
    </row>
    <row r="349" spans="1:18" x14ac:dyDescent="0.25">
      <c r="A349" t="s">
        <v>414</v>
      </c>
      <c r="B349" s="1">
        <v>44708</v>
      </c>
      <c r="C349">
        <v>2022</v>
      </c>
      <c r="D349" t="s">
        <v>59</v>
      </c>
      <c r="E349" t="str">
        <f t="shared" si="10"/>
        <v>East</v>
      </c>
      <c r="F349" t="s">
        <v>93</v>
      </c>
      <c r="G349" t="s">
        <v>19</v>
      </c>
      <c r="H349" t="s">
        <v>27</v>
      </c>
      <c r="I349">
        <v>10.67</v>
      </c>
      <c r="J349">
        <v>19.239999999999998</v>
      </c>
      <c r="K349">
        <v>1803.3</v>
      </c>
      <c r="L349" t="str">
        <f t="shared" si="11"/>
        <v>Low</v>
      </c>
      <c r="M349" t="s">
        <v>28</v>
      </c>
      <c r="N349" t="s">
        <v>47</v>
      </c>
      <c r="O349">
        <v>241.46</v>
      </c>
      <c r="P349">
        <v>1110.0899999999999</v>
      </c>
      <c r="Q349" t="s">
        <v>23</v>
      </c>
      <c r="R349">
        <v>24.25</v>
      </c>
    </row>
    <row r="350" spans="1:18" x14ac:dyDescent="0.25">
      <c r="A350" t="s">
        <v>415</v>
      </c>
      <c r="B350" s="1">
        <v>41506</v>
      </c>
      <c r="C350">
        <v>2013</v>
      </c>
      <c r="D350" t="s">
        <v>36</v>
      </c>
      <c r="E350" t="str">
        <f t="shared" si="10"/>
        <v>South</v>
      </c>
      <c r="F350" t="s">
        <v>51</v>
      </c>
      <c r="G350" t="s">
        <v>33</v>
      </c>
      <c r="H350" t="s">
        <v>39</v>
      </c>
      <c r="I350">
        <v>74.62</v>
      </c>
      <c r="J350">
        <v>77.8</v>
      </c>
      <c r="K350">
        <v>1042.68</v>
      </c>
      <c r="L350" t="str">
        <f t="shared" si="11"/>
        <v>Low</v>
      </c>
      <c r="M350" t="s">
        <v>21</v>
      </c>
      <c r="N350" t="s">
        <v>29</v>
      </c>
      <c r="O350">
        <v>179.94</v>
      </c>
      <c r="P350">
        <v>575.03</v>
      </c>
      <c r="Q350" t="s">
        <v>42</v>
      </c>
      <c r="R350">
        <v>30.32</v>
      </c>
    </row>
    <row r="351" spans="1:18" x14ac:dyDescent="0.25">
      <c r="A351" t="s">
        <v>416</v>
      </c>
      <c r="B351" s="1">
        <v>41319</v>
      </c>
      <c r="C351">
        <v>2012</v>
      </c>
      <c r="D351" t="s">
        <v>31</v>
      </c>
      <c r="E351" t="str">
        <f t="shared" si="10"/>
        <v>West</v>
      </c>
      <c r="F351" t="s">
        <v>82</v>
      </c>
      <c r="G351" t="s">
        <v>38</v>
      </c>
      <c r="H351" t="s">
        <v>39</v>
      </c>
      <c r="I351">
        <v>58.95</v>
      </c>
      <c r="J351">
        <v>151.37</v>
      </c>
      <c r="K351">
        <v>2567.8200000000002</v>
      </c>
      <c r="L351" t="str">
        <f t="shared" si="11"/>
        <v>Low</v>
      </c>
      <c r="M351" t="s">
        <v>28</v>
      </c>
      <c r="N351" t="s">
        <v>47</v>
      </c>
      <c r="O351">
        <v>191.17</v>
      </c>
      <c r="P351">
        <v>811.88</v>
      </c>
      <c r="Q351" t="s">
        <v>52</v>
      </c>
      <c r="R351">
        <v>31.32</v>
      </c>
    </row>
    <row r="352" spans="1:18" x14ac:dyDescent="0.25">
      <c r="A352" t="s">
        <v>417</v>
      </c>
      <c r="B352" s="1">
        <v>42917</v>
      </c>
      <c r="C352">
        <v>2017</v>
      </c>
      <c r="D352" t="s">
        <v>44</v>
      </c>
      <c r="E352" t="str">
        <f t="shared" si="10"/>
        <v>East</v>
      </c>
      <c r="F352" t="s">
        <v>67</v>
      </c>
      <c r="G352" t="s">
        <v>33</v>
      </c>
      <c r="H352" t="s">
        <v>20</v>
      </c>
      <c r="I352">
        <v>56.35</v>
      </c>
      <c r="J352">
        <v>219.91</v>
      </c>
      <c r="K352">
        <v>3902.56</v>
      </c>
      <c r="L352" t="str">
        <f t="shared" si="11"/>
        <v>Medium</v>
      </c>
      <c r="M352" t="s">
        <v>34</v>
      </c>
      <c r="N352" t="s">
        <v>41</v>
      </c>
      <c r="O352">
        <v>194.41</v>
      </c>
      <c r="P352">
        <v>974.19</v>
      </c>
      <c r="Q352" t="s">
        <v>52</v>
      </c>
      <c r="R352">
        <v>31.04</v>
      </c>
    </row>
    <row r="353" spans="1:18" x14ac:dyDescent="0.25">
      <c r="A353" t="s">
        <v>418</v>
      </c>
      <c r="B353" s="1">
        <v>41098</v>
      </c>
      <c r="C353">
        <v>2012</v>
      </c>
      <c r="D353" t="s">
        <v>36</v>
      </c>
      <c r="E353" t="str">
        <f t="shared" si="10"/>
        <v>South</v>
      </c>
      <c r="F353" t="s">
        <v>77</v>
      </c>
      <c r="G353" t="s">
        <v>33</v>
      </c>
      <c r="H353" t="s">
        <v>56</v>
      </c>
      <c r="I353">
        <v>51.33</v>
      </c>
      <c r="J353">
        <v>293.43</v>
      </c>
      <c r="K353">
        <v>5716.49</v>
      </c>
      <c r="L353" t="str">
        <f t="shared" si="11"/>
        <v>High</v>
      </c>
      <c r="M353" t="s">
        <v>21</v>
      </c>
      <c r="N353" t="s">
        <v>29</v>
      </c>
      <c r="O353">
        <v>90.18</v>
      </c>
      <c r="P353">
        <v>1164.57</v>
      </c>
      <c r="Q353" t="s">
        <v>23</v>
      </c>
      <c r="R353">
        <v>32.07</v>
      </c>
    </row>
    <row r="354" spans="1:18" x14ac:dyDescent="0.25">
      <c r="A354" t="s">
        <v>419</v>
      </c>
      <c r="B354" s="1">
        <v>40828</v>
      </c>
      <c r="C354">
        <v>2011</v>
      </c>
      <c r="D354" t="s">
        <v>59</v>
      </c>
      <c r="E354" t="str">
        <f t="shared" si="10"/>
        <v>East</v>
      </c>
      <c r="F354" t="s">
        <v>63</v>
      </c>
      <c r="G354" t="s">
        <v>33</v>
      </c>
      <c r="H354" t="s">
        <v>20</v>
      </c>
      <c r="I354">
        <v>22.96</v>
      </c>
      <c r="J354">
        <v>33.99</v>
      </c>
      <c r="K354">
        <v>1480.24</v>
      </c>
      <c r="L354" t="str">
        <f t="shared" si="11"/>
        <v>Low</v>
      </c>
      <c r="M354" t="s">
        <v>21</v>
      </c>
      <c r="N354" t="s">
        <v>49</v>
      </c>
      <c r="O354">
        <v>231.12</v>
      </c>
      <c r="P354">
        <v>1130.68</v>
      </c>
      <c r="Q354" t="s">
        <v>52</v>
      </c>
      <c r="R354">
        <v>29.21</v>
      </c>
    </row>
    <row r="355" spans="1:18" x14ac:dyDescent="0.25">
      <c r="A355" t="s">
        <v>420</v>
      </c>
      <c r="B355" s="1">
        <v>40389</v>
      </c>
      <c r="C355">
        <v>2010</v>
      </c>
      <c r="D355" t="s">
        <v>17</v>
      </c>
      <c r="E355" t="str">
        <f t="shared" si="10"/>
        <v>North</v>
      </c>
      <c r="F355" t="s">
        <v>54</v>
      </c>
      <c r="G355" t="s">
        <v>33</v>
      </c>
      <c r="H355" t="s">
        <v>39</v>
      </c>
      <c r="I355">
        <v>49.94</v>
      </c>
      <c r="J355">
        <v>53.15</v>
      </c>
      <c r="K355">
        <v>1064.26</v>
      </c>
      <c r="L355" t="str">
        <f t="shared" si="11"/>
        <v>Low</v>
      </c>
      <c r="M355" t="s">
        <v>34</v>
      </c>
      <c r="N355" t="s">
        <v>47</v>
      </c>
      <c r="O355">
        <v>98.69</v>
      </c>
      <c r="P355">
        <v>983.96</v>
      </c>
      <c r="Q355" t="s">
        <v>61</v>
      </c>
      <c r="R355">
        <v>27.74</v>
      </c>
    </row>
    <row r="356" spans="1:18" x14ac:dyDescent="0.25">
      <c r="A356" t="s">
        <v>421</v>
      </c>
      <c r="B356" s="1">
        <v>40586</v>
      </c>
      <c r="C356">
        <v>2010</v>
      </c>
      <c r="D356" t="s">
        <v>103</v>
      </c>
      <c r="E356" t="str">
        <f t="shared" si="10"/>
        <v>North</v>
      </c>
      <c r="F356" t="s">
        <v>228</v>
      </c>
      <c r="G356" t="s">
        <v>38</v>
      </c>
      <c r="H356" t="s">
        <v>56</v>
      </c>
      <c r="I356">
        <v>65.849999999999994</v>
      </c>
      <c r="J356">
        <v>451.33</v>
      </c>
      <c r="K356">
        <v>6853.88</v>
      </c>
      <c r="L356" t="str">
        <f t="shared" si="11"/>
        <v>High</v>
      </c>
      <c r="M356" t="s">
        <v>21</v>
      </c>
      <c r="N356" t="s">
        <v>47</v>
      </c>
      <c r="O356">
        <v>299.2</v>
      </c>
      <c r="P356">
        <v>979.67</v>
      </c>
      <c r="Q356" t="s">
        <v>70</v>
      </c>
      <c r="R356">
        <v>30.04</v>
      </c>
    </row>
    <row r="357" spans="1:18" x14ac:dyDescent="0.25">
      <c r="A357" t="s">
        <v>422</v>
      </c>
      <c r="B357" s="1">
        <v>40321</v>
      </c>
      <c r="C357">
        <v>2010</v>
      </c>
      <c r="D357" t="s">
        <v>103</v>
      </c>
      <c r="E357" t="str">
        <f t="shared" si="10"/>
        <v>North</v>
      </c>
      <c r="F357" t="s">
        <v>228</v>
      </c>
      <c r="G357" t="s">
        <v>19</v>
      </c>
      <c r="H357" t="s">
        <v>39</v>
      </c>
      <c r="I357">
        <v>7.79</v>
      </c>
      <c r="J357">
        <v>12</v>
      </c>
      <c r="K357">
        <v>1541</v>
      </c>
      <c r="L357" t="str">
        <f t="shared" si="11"/>
        <v>Low</v>
      </c>
      <c r="M357" t="s">
        <v>34</v>
      </c>
      <c r="N357" t="s">
        <v>49</v>
      </c>
      <c r="O357">
        <v>231.53</v>
      </c>
      <c r="P357">
        <v>759.11</v>
      </c>
      <c r="Q357" t="s">
        <v>61</v>
      </c>
      <c r="R357">
        <v>25.22</v>
      </c>
    </row>
    <row r="358" spans="1:18" x14ac:dyDescent="0.25">
      <c r="A358" t="s">
        <v>423</v>
      </c>
      <c r="B358" s="1">
        <v>41608</v>
      </c>
      <c r="C358">
        <v>2013</v>
      </c>
      <c r="D358" t="s">
        <v>103</v>
      </c>
      <c r="E358" t="str">
        <f t="shared" si="10"/>
        <v>North</v>
      </c>
      <c r="F358" t="s">
        <v>228</v>
      </c>
      <c r="G358" t="s">
        <v>38</v>
      </c>
      <c r="H358" t="s">
        <v>46</v>
      </c>
      <c r="I358">
        <v>57.92</v>
      </c>
      <c r="J358">
        <v>148.66</v>
      </c>
      <c r="K358">
        <v>2566.65</v>
      </c>
      <c r="L358" t="str">
        <f t="shared" si="11"/>
        <v>Low</v>
      </c>
      <c r="M358" t="s">
        <v>28</v>
      </c>
      <c r="N358" t="s">
        <v>47</v>
      </c>
      <c r="O358">
        <v>176.56</v>
      </c>
      <c r="P358">
        <v>758.63</v>
      </c>
      <c r="Q358" t="s">
        <v>61</v>
      </c>
      <c r="R358">
        <v>24.41</v>
      </c>
    </row>
    <row r="359" spans="1:18" x14ac:dyDescent="0.25">
      <c r="A359" t="s">
        <v>424</v>
      </c>
      <c r="B359" s="1">
        <v>44709</v>
      </c>
      <c r="C359">
        <v>2022</v>
      </c>
      <c r="D359" t="s">
        <v>31</v>
      </c>
      <c r="E359" t="str">
        <f t="shared" si="10"/>
        <v>West</v>
      </c>
      <c r="F359" t="s">
        <v>117</v>
      </c>
      <c r="G359" t="s">
        <v>19</v>
      </c>
      <c r="H359" t="s">
        <v>20</v>
      </c>
      <c r="I359">
        <v>69.72</v>
      </c>
      <c r="J359">
        <v>473.84</v>
      </c>
      <c r="K359">
        <v>6796.33</v>
      </c>
      <c r="L359" t="str">
        <f t="shared" si="11"/>
        <v>High</v>
      </c>
      <c r="M359" t="s">
        <v>28</v>
      </c>
      <c r="N359" t="s">
        <v>47</v>
      </c>
      <c r="O359">
        <v>242.49</v>
      </c>
      <c r="P359">
        <v>957.47</v>
      </c>
      <c r="Q359" t="s">
        <v>52</v>
      </c>
      <c r="R359">
        <v>30.22</v>
      </c>
    </row>
    <row r="360" spans="1:18" x14ac:dyDescent="0.25">
      <c r="A360" t="s">
        <v>425</v>
      </c>
      <c r="B360" s="1">
        <v>42977</v>
      </c>
      <c r="C360">
        <v>2017</v>
      </c>
      <c r="D360" t="s">
        <v>44</v>
      </c>
      <c r="E360" t="str">
        <f t="shared" si="10"/>
        <v>East</v>
      </c>
      <c r="F360" t="s">
        <v>45</v>
      </c>
      <c r="G360" t="s">
        <v>33</v>
      </c>
      <c r="H360" t="s">
        <v>20</v>
      </c>
      <c r="I360">
        <v>7.69</v>
      </c>
      <c r="J360">
        <v>36.93</v>
      </c>
      <c r="K360">
        <v>4801.97</v>
      </c>
      <c r="L360" t="str">
        <f t="shared" si="11"/>
        <v>Medium</v>
      </c>
      <c r="M360" t="s">
        <v>40</v>
      </c>
      <c r="N360" t="s">
        <v>47</v>
      </c>
      <c r="O360">
        <v>219.23</v>
      </c>
      <c r="P360">
        <v>429.93</v>
      </c>
      <c r="Q360" t="s">
        <v>70</v>
      </c>
      <c r="R360">
        <v>26.19</v>
      </c>
    </row>
    <row r="361" spans="1:18" x14ac:dyDescent="0.25">
      <c r="A361" t="s">
        <v>426</v>
      </c>
      <c r="B361" s="1">
        <v>44556</v>
      </c>
      <c r="C361">
        <v>2021</v>
      </c>
      <c r="D361" t="s">
        <v>59</v>
      </c>
      <c r="E361" t="str">
        <f t="shared" si="10"/>
        <v>East</v>
      </c>
      <c r="F361" t="s">
        <v>60</v>
      </c>
      <c r="G361" t="s">
        <v>38</v>
      </c>
      <c r="H361" t="s">
        <v>56</v>
      </c>
      <c r="I361">
        <v>29.44</v>
      </c>
      <c r="J361">
        <v>99.91</v>
      </c>
      <c r="K361">
        <v>3393.58</v>
      </c>
      <c r="L361" t="str">
        <f t="shared" si="11"/>
        <v>Medium</v>
      </c>
      <c r="M361" t="s">
        <v>34</v>
      </c>
      <c r="N361" t="s">
        <v>47</v>
      </c>
      <c r="O361">
        <v>69.010000000000005</v>
      </c>
      <c r="P361">
        <v>1131.4000000000001</v>
      </c>
      <c r="Q361" t="s">
        <v>52</v>
      </c>
      <c r="R361">
        <v>24.71</v>
      </c>
    </row>
    <row r="362" spans="1:18" x14ac:dyDescent="0.25">
      <c r="A362" t="s">
        <v>427</v>
      </c>
      <c r="B362" s="1">
        <v>44340</v>
      </c>
      <c r="C362">
        <v>2021</v>
      </c>
      <c r="D362" t="s">
        <v>31</v>
      </c>
      <c r="E362" t="str">
        <f t="shared" si="10"/>
        <v>West</v>
      </c>
      <c r="F362" t="s">
        <v>82</v>
      </c>
      <c r="G362" t="s">
        <v>19</v>
      </c>
      <c r="H362" t="s">
        <v>56</v>
      </c>
      <c r="I362">
        <v>50.4</v>
      </c>
      <c r="J362">
        <v>110.78</v>
      </c>
      <c r="K362">
        <v>2198</v>
      </c>
      <c r="L362" t="str">
        <f t="shared" si="11"/>
        <v>Low</v>
      </c>
      <c r="M362" t="s">
        <v>40</v>
      </c>
      <c r="N362" t="s">
        <v>47</v>
      </c>
      <c r="O362">
        <v>268.19</v>
      </c>
      <c r="P362">
        <v>406.78</v>
      </c>
      <c r="Q362" t="s">
        <v>42</v>
      </c>
      <c r="R362">
        <v>32.520000000000003</v>
      </c>
    </row>
    <row r="363" spans="1:18" x14ac:dyDescent="0.25">
      <c r="A363" t="s">
        <v>428</v>
      </c>
      <c r="B363" s="1">
        <v>44836</v>
      </c>
      <c r="C363">
        <v>2022</v>
      </c>
      <c r="D363" t="s">
        <v>31</v>
      </c>
      <c r="E363" t="str">
        <f t="shared" si="10"/>
        <v>West</v>
      </c>
      <c r="F363" t="s">
        <v>82</v>
      </c>
      <c r="G363" t="s">
        <v>33</v>
      </c>
      <c r="H363" t="s">
        <v>64</v>
      </c>
      <c r="I363">
        <v>92.1</v>
      </c>
      <c r="J363">
        <v>465.55</v>
      </c>
      <c r="K363">
        <v>5054.87</v>
      </c>
      <c r="L363" t="str">
        <f t="shared" si="11"/>
        <v>High</v>
      </c>
      <c r="M363" t="s">
        <v>28</v>
      </c>
      <c r="N363" t="s">
        <v>49</v>
      </c>
      <c r="O363">
        <v>203.46</v>
      </c>
      <c r="P363">
        <v>964.24</v>
      </c>
      <c r="Q363" t="s">
        <v>61</v>
      </c>
      <c r="R363">
        <v>34.369999999999997</v>
      </c>
    </row>
    <row r="364" spans="1:18" x14ac:dyDescent="0.25">
      <c r="A364" t="s">
        <v>429</v>
      </c>
      <c r="B364" s="1">
        <v>42877</v>
      </c>
      <c r="C364">
        <v>2017</v>
      </c>
      <c r="D364" t="s">
        <v>59</v>
      </c>
      <c r="E364" t="str">
        <f t="shared" si="10"/>
        <v>East</v>
      </c>
      <c r="F364" t="s">
        <v>63</v>
      </c>
      <c r="G364" t="s">
        <v>19</v>
      </c>
      <c r="H364" t="s">
        <v>20</v>
      </c>
      <c r="I364">
        <v>49.59</v>
      </c>
      <c r="J364">
        <v>342.49</v>
      </c>
      <c r="K364">
        <v>6906.37</v>
      </c>
      <c r="L364" t="str">
        <f t="shared" si="11"/>
        <v>High</v>
      </c>
      <c r="M364" t="s">
        <v>34</v>
      </c>
      <c r="N364" t="s">
        <v>29</v>
      </c>
      <c r="O364">
        <v>149.47</v>
      </c>
      <c r="P364">
        <v>950.17</v>
      </c>
      <c r="Q364" t="s">
        <v>42</v>
      </c>
      <c r="R364">
        <v>20.81</v>
      </c>
    </row>
    <row r="365" spans="1:18" x14ac:dyDescent="0.25">
      <c r="A365" t="s">
        <v>430</v>
      </c>
      <c r="B365" s="1">
        <v>40313</v>
      </c>
      <c r="C365">
        <v>2010</v>
      </c>
      <c r="D365" t="s">
        <v>36</v>
      </c>
      <c r="E365" t="str">
        <f t="shared" si="10"/>
        <v>South</v>
      </c>
      <c r="F365" t="s">
        <v>77</v>
      </c>
      <c r="G365" t="s">
        <v>19</v>
      </c>
      <c r="H365" t="s">
        <v>20</v>
      </c>
      <c r="I365">
        <v>39.979999999999997</v>
      </c>
      <c r="J365">
        <v>204.62</v>
      </c>
      <c r="K365">
        <v>5118.03</v>
      </c>
      <c r="L365" t="str">
        <f t="shared" si="11"/>
        <v>High</v>
      </c>
      <c r="M365" t="s">
        <v>40</v>
      </c>
      <c r="N365" t="s">
        <v>22</v>
      </c>
      <c r="O365">
        <v>164.3</v>
      </c>
      <c r="P365">
        <v>320.37</v>
      </c>
      <c r="Q365" t="s">
        <v>61</v>
      </c>
      <c r="R365">
        <v>26.9</v>
      </c>
    </row>
    <row r="366" spans="1:18" x14ac:dyDescent="0.25">
      <c r="A366" t="s">
        <v>431</v>
      </c>
      <c r="B366" s="1">
        <v>41666</v>
      </c>
      <c r="C366">
        <v>2013</v>
      </c>
      <c r="D366" t="s">
        <v>25</v>
      </c>
      <c r="E366" t="str">
        <f t="shared" si="10"/>
        <v>North</v>
      </c>
      <c r="F366" t="s">
        <v>69</v>
      </c>
      <c r="G366" t="s">
        <v>38</v>
      </c>
      <c r="H366" t="s">
        <v>27</v>
      </c>
      <c r="I366">
        <v>10.97</v>
      </c>
      <c r="J366">
        <v>34.770000000000003</v>
      </c>
      <c r="K366">
        <v>3169.61</v>
      </c>
      <c r="L366" t="str">
        <f t="shared" si="11"/>
        <v>Medium</v>
      </c>
      <c r="M366" t="s">
        <v>34</v>
      </c>
      <c r="N366" t="s">
        <v>49</v>
      </c>
      <c r="O366">
        <v>96.79</v>
      </c>
      <c r="P366">
        <v>462.85</v>
      </c>
      <c r="Q366" t="s">
        <v>70</v>
      </c>
      <c r="R366">
        <v>27.07</v>
      </c>
    </row>
    <row r="367" spans="1:18" x14ac:dyDescent="0.25">
      <c r="A367" t="s">
        <v>432</v>
      </c>
      <c r="B367" s="1">
        <v>42580</v>
      </c>
      <c r="C367">
        <v>2016</v>
      </c>
      <c r="D367" t="s">
        <v>103</v>
      </c>
      <c r="E367" t="str">
        <f t="shared" si="10"/>
        <v>North</v>
      </c>
      <c r="F367" t="s">
        <v>107</v>
      </c>
      <c r="G367" t="s">
        <v>33</v>
      </c>
      <c r="H367" t="s">
        <v>46</v>
      </c>
      <c r="I367">
        <v>70.37</v>
      </c>
      <c r="J367">
        <v>227.57</v>
      </c>
      <c r="K367">
        <v>3233.86</v>
      </c>
      <c r="L367" t="str">
        <f t="shared" si="11"/>
        <v>Medium</v>
      </c>
      <c r="M367" t="s">
        <v>28</v>
      </c>
      <c r="N367" t="s">
        <v>22</v>
      </c>
      <c r="O367">
        <v>119.91</v>
      </c>
      <c r="P367">
        <v>379.89</v>
      </c>
      <c r="Q367" t="s">
        <v>42</v>
      </c>
      <c r="R367">
        <v>34.69</v>
      </c>
    </row>
    <row r="368" spans="1:18" x14ac:dyDescent="0.25">
      <c r="A368" t="s">
        <v>433</v>
      </c>
      <c r="B368" s="1">
        <v>44758</v>
      </c>
      <c r="C368">
        <v>2022</v>
      </c>
      <c r="D368" t="s">
        <v>17</v>
      </c>
      <c r="E368" t="str">
        <f t="shared" si="10"/>
        <v>North</v>
      </c>
      <c r="F368" t="s">
        <v>72</v>
      </c>
      <c r="G368" t="s">
        <v>33</v>
      </c>
      <c r="H368" t="s">
        <v>27</v>
      </c>
      <c r="I368">
        <v>43.79</v>
      </c>
      <c r="J368">
        <v>143.86000000000001</v>
      </c>
      <c r="K368">
        <v>3285.3</v>
      </c>
      <c r="L368" t="str">
        <f t="shared" si="11"/>
        <v>Medium</v>
      </c>
      <c r="M368" t="s">
        <v>40</v>
      </c>
      <c r="N368" t="s">
        <v>29</v>
      </c>
      <c r="O368">
        <v>250.01</v>
      </c>
      <c r="P368">
        <v>938.54</v>
      </c>
      <c r="Q368" t="s">
        <v>52</v>
      </c>
      <c r="R368">
        <v>32.090000000000003</v>
      </c>
    </row>
    <row r="369" spans="1:18" x14ac:dyDescent="0.25">
      <c r="A369" t="s">
        <v>434</v>
      </c>
      <c r="B369" s="1">
        <v>43966</v>
      </c>
      <c r="C369">
        <v>2020</v>
      </c>
      <c r="D369" t="s">
        <v>36</v>
      </c>
      <c r="E369" t="str">
        <f t="shared" si="10"/>
        <v>South</v>
      </c>
      <c r="F369" t="s">
        <v>37</v>
      </c>
      <c r="G369" t="s">
        <v>19</v>
      </c>
      <c r="H369" t="s">
        <v>27</v>
      </c>
      <c r="I369">
        <v>72.34</v>
      </c>
      <c r="J369">
        <v>413.21</v>
      </c>
      <c r="K369">
        <v>5712</v>
      </c>
      <c r="L369" t="str">
        <f t="shared" si="11"/>
        <v>High</v>
      </c>
      <c r="M369" t="s">
        <v>34</v>
      </c>
      <c r="N369" t="s">
        <v>41</v>
      </c>
      <c r="O369">
        <v>112.74</v>
      </c>
      <c r="P369">
        <v>1058.5</v>
      </c>
      <c r="Q369" t="s">
        <v>23</v>
      </c>
      <c r="R369">
        <v>25.98</v>
      </c>
    </row>
    <row r="370" spans="1:18" x14ac:dyDescent="0.25">
      <c r="A370" t="s">
        <v>435</v>
      </c>
      <c r="B370" s="1">
        <v>42049</v>
      </c>
      <c r="C370">
        <v>2014</v>
      </c>
      <c r="D370" t="s">
        <v>25</v>
      </c>
      <c r="E370" t="str">
        <f t="shared" si="10"/>
        <v>North</v>
      </c>
      <c r="F370" t="s">
        <v>26</v>
      </c>
      <c r="G370" t="s">
        <v>38</v>
      </c>
      <c r="H370" t="s">
        <v>39</v>
      </c>
      <c r="I370">
        <v>10.53</v>
      </c>
      <c r="J370">
        <v>57.57</v>
      </c>
      <c r="K370">
        <v>5467.56</v>
      </c>
      <c r="L370" t="str">
        <f t="shared" si="11"/>
        <v>High</v>
      </c>
      <c r="M370" t="s">
        <v>34</v>
      </c>
      <c r="N370" t="s">
        <v>22</v>
      </c>
      <c r="O370">
        <v>140.24</v>
      </c>
      <c r="P370">
        <v>760.35</v>
      </c>
      <c r="Q370" t="s">
        <v>70</v>
      </c>
      <c r="R370">
        <v>25.16</v>
      </c>
    </row>
    <row r="371" spans="1:18" x14ac:dyDescent="0.25">
      <c r="A371" t="s">
        <v>436</v>
      </c>
      <c r="B371" s="1">
        <v>43741</v>
      </c>
      <c r="C371">
        <v>2019</v>
      </c>
      <c r="D371" t="s">
        <v>31</v>
      </c>
      <c r="E371" t="str">
        <f t="shared" si="10"/>
        <v>West</v>
      </c>
      <c r="F371" t="s">
        <v>117</v>
      </c>
      <c r="G371" t="s">
        <v>33</v>
      </c>
      <c r="H371" t="s">
        <v>27</v>
      </c>
      <c r="I371">
        <v>58.01</v>
      </c>
      <c r="J371">
        <v>283.95</v>
      </c>
      <c r="K371">
        <v>4894.79</v>
      </c>
      <c r="L371" t="str">
        <f t="shared" si="11"/>
        <v>Medium</v>
      </c>
      <c r="M371" t="s">
        <v>40</v>
      </c>
      <c r="N371" t="s">
        <v>29</v>
      </c>
      <c r="O371">
        <v>294.83999999999997</v>
      </c>
      <c r="P371">
        <v>484.61</v>
      </c>
      <c r="Q371" t="s">
        <v>70</v>
      </c>
      <c r="R371">
        <v>30.1</v>
      </c>
    </row>
    <row r="372" spans="1:18" x14ac:dyDescent="0.25">
      <c r="A372" t="s">
        <v>437</v>
      </c>
      <c r="B372" s="1">
        <v>43916</v>
      </c>
      <c r="C372">
        <v>2019</v>
      </c>
      <c r="D372" t="s">
        <v>25</v>
      </c>
      <c r="E372" t="str">
        <f t="shared" si="10"/>
        <v>North</v>
      </c>
      <c r="F372" t="s">
        <v>87</v>
      </c>
      <c r="G372" t="s">
        <v>38</v>
      </c>
      <c r="H372" t="s">
        <v>46</v>
      </c>
      <c r="I372">
        <v>63.54</v>
      </c>
      <c r="J372">
        <v>118.76</v>
      </c>
      <c r="K372">
        <v>1869.09</v>
      </c>
      <c r="L372" t="str">
        <f t="shared" si="11"/>
        <v>Low</v>
      </c>
      <c r="M372" t="s">
        <v>40</v>
      </c>
      <c r="N372" t="s">
        <v>29</v>
      </c>
      <c r="O372">
        <v>210.15</v>
      </c>
      <c r="P372">
        <v>1128.57</v>
      </c>
      <c r="Q372" t="s">
        <v>52</v>
      </c>
      <c r="R372">
        <v>29.47</v>
      </c>
    </row>
    <row r="373" spans="1:18" x14ac:dyDescent="0.25">
      <c r="A373" t="s">
        <v>438</v>
      </c>
      <c r="B373" s="1">
        <v>40808</v>
      </c>
      <c r="C373">
        <v>2011</v>
      </c>
      <c r="D373" t="s">
        <v>44</v>
      </c>
      <c r="E373" t="str">
        <f t="shared" si="10"/>
        <v>East</v>
      </c>
      <c r="F373" t="s">
        <v>45</v>
      </c>
      <c r="G373" t="s">
        <v>33</v>
      </c>
      <c r="H373" t="s">
        <v>20</v>
      </c>
      <c r="I373">
        <v>23.59</v>
      </c>
      <c r="J373">
        <v>68.44</v>
      </c>
      <c r="K373">
        <v>2901.27</v>
      </c>
      <c r="L373" t="str">
        <f t="shared" si="11"/>
        <v>Low</v>
      </c>
      <c r="M373" t="s">
        <v>34</v>
      </c>
      <c r="N373" t="s">
        <v>49</v>
      </c>
      <c r="O373">
        <v>227.61</v>
      </c>
      <c r="P373">
        <v>805.38</v>
      </c>
      <c r="Q373" t="s">
        <v>52</v>
      </c>
      <c r="R373">
        <v>24.07</v>
      </c>
    </row>
    <row r="374" spans="1:18" x14ac:dyDescent="0.25">
      <c r="A374" t="s">
        <v>439</v>
      </c>
      <c r="B374" s="1">
        <v>43506</v>
      </c>
      <c r="C374">
        <v>2018</v>
      </c>
      <c r="D374" t="s">
        <v>17</v>
      </c>
      <c r="E374" t="str">
        <f t="shared" si="10"/>
        <v>North</v>
      </c>
      <c r="F374" t="s">
        <v>54</v>
      </c>
      <c r="G374" t="s">
        <v>38</v>
      </c>
      <c r="H374" t="s">
        <v>46</v>
      </c>
      <c r="I374">
        <v>17.559999999999999</v>
      </c>
      <c r="J374">
        <v>107.56</v>
      </c>
      <c r="K374">
        <v>6125.27</v>
      </c>
      <c r="L374" t="str">
        <f t="shared" si="11"/>
        <v>High</v>
      </c>
      <c r="M374" t="s">
        <v>40</v>
      </c>
      <c r="N374" t="s">
        <v>22</v>
      </c>
      <c r="O374">
        <v>231.94</v>
      </c>
      <c r="P374">
        <v>862.02</v>
      </c>
      <c r="Q374" t="s">
        <v>23</v>
      </c>
      <c r="R374">
        <v>23.16</v>
      </c>
    </row>
    <row r="375" spans="1:18" x14ac:dyDescent="0.25">
      <c r="A375" t="s">
        <v>440</v>
      </c>
      <c r="B375" s="1">
        <v>42882</v>
      </c>
      <c r="C375">
        <v>2017</v>
      </c>
      <c r="D375" t="s">
        <v>25</v>
      </c>
      <c r="E375" t="str">
        <f t="shared" si="10"/>
        <v>North</v>
      </c>
      <c r="F375" t="s">
        <v>26</v>
      </c>
      <c r="G375" t="s">
        <v>19</v>
      </c>
      <c r="H375" t="s">
        <v>64</v>
      </c>
      <c r="I375">
        <v>3.61</v>
      </c>
      <c r="J375">
        <v>12.21</v>
      </c>
      <c r="K375">
        <v>3382.08</v>
      </c>
      <c r="L375" t="str">
        <f t="shared" si="11"/>
        <v>Medium</v>
      </c>
      <c r="M375" t="s">
        <v>21</v>
      </c>
      <c r="N375" t="s">
        <v>29</v>
      </c>
      <c r="O375">
        <v>75.98</v>
      </c>
      <c r="P375">
        <v>818.1</v>
      </c>
      <c r="Q375" t="s">
        <v>23</v>
      </c>
      <c r="R375">
        <v>29.82</v>
      </c>
    </row>
    <row r="376" spans="1:18" x14ac:dyDescent="0.25">
      <c r="A376" t="s">
        <v>441</v>
      </c>
      <c r="B376" s="1">
        <v>41394</v>
      </c>
      <c r="C376">
        <v>2013</v>
      </c>
      <c r="D376" t="s">
        <v>31</v>
      </c>
      <c r="E376" t="str">
        <f t="shared" si="10"/>
        <v>West</v>
      </c>
      <c r="F376" t="s">
        <v>82</v>
      </c>
      <c r="G376" t="s">
        <v>19</v>
      </c>
      <c r="H376" t="s">
        <v>20</v>
      </c>
      <c r="I376">
        <v>44.87</v>
      </c>
      <c r="J376">
        <v>78.900000000000006</v>
      </c>
      <c r="K376">
        <v>1758.47</v>
      </c>
      <c r="L376" t="str">
        <f t="shared" si="11"/>
        <v>Low</v>
      </c>
      <c r="M376" t="s">
        <v>40</v>
      </c>
      <c r="N376" t="s">
        <v>47</v>
      </c>
      <c r="O376">
        <v>57.14</v>
      </c>
      <c r="P376">
        <v>863.55</v>
      </c>
      <c r="Q376" t="s">
        <v>70</v>
      </c>
      <c r="R376">
        <v>32.96</v>
      </c>
    </row>
    <row r="377" spans="1:18" x14ac:dyDescent="0.25">
      <c r="A377" t="s">
        <v>442</v>
      </c>
      <c r="B377" s="1">
        <v>43023</v>
      </c>
      <c r="C377">
        <v>2017</v>
      </c>
      <c r="D377" t="s">
        <v>31</v>
      </c>
      <c r="E377" t="str">
        <f t="shared" si="10"/>
        <v>West</v>
      </c>
      <c r="F377" t="s">
        <v>117</v>
      </c>
      <c r="G377" t="s">
        <v>33</v>
      </c>
      <c r="H377" t="s">
        <v>39</v>
      </c>
      <c r="I377">
        <v>54.39</v>
      </c>
      <c r="J377">
        <v>247.2</v>
      </c>
      <c r="K377">
        <v>4544.99</v>
      </c>
      <c r="L377" t="str">
        <f t="shared" si="11"/>
        <v>Medium</v>
      </c>
      <c r="M377" t="s">
        <v>28</v>
      </c>
      <c r="N377" t="s">
        <v>49</v>
      </c>
      <c r="O377">
        <v>207.76</v>
      </c>
      <c r="P377">
        <v>835.85</v>
      </c>
      <c r="Q377" t="s">
        <v>61</v>
      </c>
      <c r="R377">
        <v>26.52</v>
      </c>
    </row>
    <row r="378" spans="1:18" x14ac:dyDescent="0.25">
      <c r="A378" t="s">
        <v>443</v>
      </c>
      <c r="B378" s="1">
        <v>43286</v>
      </c>
      <c r="C378">
        <v>2018</v>
      </c>
      <c r="D378" t="s">
        <v>31</v>
      </c>
      <c r="E378" t="str">
        <f t="shared" si="10"/>
        <v>West</v>
      </c>
      <c r="F378" t="s">
        <v>32</v>
      </c>
      <c r="G378" t="s">
        <v>33</v>
      </c>
      <c r="H378" t="s">
        <v>64</v>
      </c>
      <c r="I378">
        <v>44.74</v>
      </c>
      <c r="J378">
        <v>142.93</v>
      </c>
      <c r="K378">
        <v>3194.7</v>
      </c>
      <c r="L378" t="str">
        <f t="shared" si="11"/>
        <v>Medium</v>
      </c>
      <c r="M378" t="s">
        <v>34</v>
      </c>
      <c r="N378" t="s">
        <v>49</v>
      </c>
      <c r="O378">
        <v>88.93</v>
      </c>
      <c r="P378">
        <v>210.56</v>
      </c>
      <c r="Q378" t="s">
        <v>61</v>
      </c>
      <c r="R378">
        <v>32.229999999999997</v>
      </c>
    </row>
    <row r="379" spans="1:18" x14ac:dyDescent="0.25">
      <c r="A379" t="s">
        <v>444</v>
      </c>
      <c r="B379" s="1">
        <v>43253</v>
      </c>
      <c r="C379">
        <v>2018</v>
      </c>
      <c r="D379" t="s">
        <v>31</v>
      </c>
      <c r="E379" t="str">
        <f t="shared" si="10"/>
        <v>West</v>
      </c>
      <c r="F379" t="s">
        <v>32</v>
      </c>
      <c r="G379" t="s">
        <v>33</v>
      </c>
      <c r="H379" t="s">
        <v>39</v>
      </c>
      <c r="I379">
        <v>92.29</v>
      </c>
      <c r="J379">
        <v>616.66</v>
      </c>
      <c r="K379">
        <v>6681.75</v>
      </c>
      <c r="L379" t="str">
        <f t="shared" si="11"/>
        <v>High</v>
      </c>
      <c r="M379" t="s">
        <v>28</v>
      </c>
      <c r="N379" t="s">
        <v>47</v>
      </c>
      <c r="O379">
        <v>124.9</v>
      </c>
      <c r="P379">
        <v>965.87</v>
      </c>
      <c r="Q379" t="s">
        <v>70</v>
      </c>
      <c r="R379">
        <v>28.96</v>
      </c>
    </row>
    <row r="380" spans="1:18" x14ac:dyDescent="0.25">
      <c r="A380" t="s">
        <v>445</v>
      </c>
      <c r="B380" s="1">
        <v>42476</v>
      </c>
      <c r="C380">
        <v>2016</v>
      </c>
      <c r="D380" t="s">
        <v>31</v>
      </c>
      <c r="E380" t="str">
        <f t="shared" si="10"/>
        <v>West</v>
      </c>
      <c r="F380" t="s">
        <v>82</v>
      </c>
      <c r="G380" t="s">
        <v>19</v>
      </c>
      <c r="H380" t="s">
        <v>46</v>
      </c>
      <c r="I380">
        <v>40.08</v>
      </c>
      <c r="J380">
        <v>79.34</v>
      </c>
      <c r="K380">
        <v>1979.62</v>
      </c>
      <c r="L380" t="str">
        <f t="shared" si="11"/>
        <v>Low</v>
      </c>
      <c r="M380" t="s">
        <v>28</v>
      </c>
      <c r="N380" t="s">
        <v>47</v>
      </c>
      <c r="O380">
        <v>257.11</v>
      </c>
      <c r="P380">
        <v>420.59</v>
      </c>
      <c r="Q380" t="s">
        <v>23</v>
      </c>
      <c r="R380">
        <v>26.33</v>
      </c>
    </row>
    <row r="381" spans="1:18" x14ac:dyDescent="0.25">
      <c r="A381" t="s">
        <v>446</v>
      </c>
      <c r="B381" s="1">
        <v>44659</v>
      </c>
      <c r="C381">
        <v>2022</v>
      </c>
      <c r="D381" t="s">
        <v>44</v>
      </c>
      <c r="E381" t="str">
        <f t="shared" si="10"/>
        <v>East</v>
      </c>
      <c r="F381" t="s">
        <v>67</v>
      </c>
      <c r="G381" t="s">
        <v>19</v>
      </c>
      <c r="H381" t="s">
        <v>39</v>
      </c>
      <c r="I381">
        <v>27.91</v>
      </c>
      <c r="J381">
        <v>136.5</v>
      </c>
      <c r="K381">
        <v>4890.74</v>
      </c>
      <c r="L381" t="str">
        <f t="shared" si="11"/>
        <v>Medium</v>
      </c>
      <c r="M381" t="s">
        <v>34</v>
      </c>
      <c r="N381" t="s">
        <v>29</v>
      </c>
      <c r="O381">
        <v>153.22999999999999</v>
      </c>
      <c r="P381">
        <v>1053.48</v>
      </c>
      <c r="Q381" t="s">
        <v>42</v>
      </c>
      <c r="R381">
        <v>22.05</v>
      </c>
    </row>
    <row r="382" spans="1:18" x14ac:dyDescent="0.25">
      <c r="A382" t="s">
        <v>447</v>
      </c>
      <c r="B382" s="1">
        <v>41748</v>
      </c>
      <c r="C382">
        <v>2014</v>
      </c>
      <c r="D382" t="s">
        <v>59</v>
      </c>
      <c r="E382" t="str">
        <f t="shared" si="10"/>
        <v>East</v>
      </c>
      <c r="F382" t="s">
        <v>63</v>
      </c>
      <c r="G382" t="s">
        <v>19</v>
      </c>
      <c r="H382" t="s">
        <v>27</v>
      </c>
      <c r="I382">
        <v>49.71</v>
      </c>
      <c r="J382">
        <v>145.35</v>
      </c>
      <c r="K382">
        <v>2923.86</v>
      </c>
      <c r="L382" t="str">
        <f t="shared" si="11"/>
        <v>Low</v>
      </c>
      <c r="M382" t="s">
        <v>40</v>
      </c>
      <c r="N382" t="s">
        <v>49</v>
      </c>
      <c r="O382">
        <v>62.41</v>
      </c>
      <c r="P382">
        <v>734.97</v>
      </c>
      <c r="Q382" t="s">
        <v>42</v>
      </c>
      <c r="R382">
        <v>34.58</v>
      </c>
    </row>
    <row r="383" spans="1:18" x14ac:dyDescent="0.25">
      <c r="A383" t="s">
        <v>448</v>
      </c>
      <c r="B383" s="1">
        <v>42855</v>
      </c>
      <c r="C383">
        <v>2017</v>
      </c>
      <c r="D383" t="s">
        <v>103</v>
      </c>
      <c r="E383" t="str">
        <f t="shared" si="10"/>
        <v>North</v>
      </c>
      <c r="F383" t="s">
        <v>228</v>
      </c>
      <c r="G383" t="s">
        <v>19</v>
      </c>
      <c r="H383" t="s">
        <v>64</v>
      </c>
      <c r="I383">
        <v>24.05</v>
      </c>
      <c r="J383">
        <v>45.79</v>
      </c>
      <c r="K383">
        <v>1904.1</v>
      </c>
      <c r="L383" t="str">
        <f t="shared" si="11"/>
        <v>Low</v>
      </c>
      <c r="M383" t="s">
        <v>28</v>
      </c>
      <c r="N383" t="s">
        <v>22</v>
      </c>
      <c r="O383">
        <v>104.3</v>
      </c>
      <c r="P383">
        <v>620.24</v>
      </c>
      <c r="Q383" t="s">
        <v>52</v>
      </c>
      <c r="R383">
        <v>34.97</v>
      </c>
    </row>
    <row r="384" spans="1:18" x14ac:dyDescent="0.25">
      <c r="A384" t="s">
        <v>449</v>
      </c>
      <c r="B384" s="1">
        <v>44716</v>
      </c>
      <c r="C384">
        <v>2022</v>
      </c>
      <c r="D384" t="s">
        <v>31</v>
      </c>
      <c r="E384" t="str">
        <f t="shared" si="10"/>
        <v>West</v>
      </c>
      <c r="F384" t="s">
        <v>82</v>
      </c>
      <c r="G384" t="s">
        <v>33</v>
      </c>
      <c r="H384" t="s">
        <v>64</v>
      </c>
      <c r="I384">
        <v>27.38</v>
      </c>
      <c r="J384">
        <v>91.85</v>
      </c>
      <c r="K384">
        <v>3354.53</v>
      </c>
      <c r="L384" t="str">
        <f t="shared" si="11"/>
        <v>Medium</v>
      </c>
      <c r="M384" t="s">
        <v>28</v>
      </c>
      <c r="N384" t="s">
        <v>22</v>
      </c>
      <c r="O384">
        <v>95.4</v>
      </c>
      <c r="P384">
        <v>1095.7</v>
      </c>
      <c r="Q384" t="s">
        <v>70</v>
      </c>
      <c r="R384">
        <v>32.26</v>
      </c>
    </row>
    <row r="385" spans="1:18" x14ac:dyDescent="0.25">
      <c r="A385" t="s">
        <v>450</v>
      </c>
      <c r="B385" s="1">
        <v>41632</v>
      </c>
      <c r="C385">
        <v>2013</v>
      </c>
      <c r="D385" t="s">
        <v>44</v>
      </c>
      <c r="E385" t="str">
        <f t="shared" si="10"/>
        <v>East</v>
      </c>
      <c r="F385" t="s">
        <v>67</v>
      </c>
      <c r="G385" t="s">
        <v>38</v>
      </c>
      <c r="H385" t="s">
        <v>46</v>
      </c>
      <c r="I385">
        <v>25.47</v>
      </c>
      <c r="J385">
        <v>177.45</v>
      </c>
      <c r="K385">
        <v>6967.21</v>
      </c>
      <c r="L385" t="str">
        <f t="shared" si="11"/>
        <v>High</v>
      </c>
      <c r="M385" t="s">
        <v>40</v>
      </c>
      <c r="N385" t="s">
        <v>29</v>
      </c>
      <c r="O385">
        <v>165.21</v>
      </c>
      <c r="P385">
        <v>971</v>
      </c>
      <c r="Q385" t="s">
        <v>61</v>
      </c>
      <c r="R385">
        <v>29.99</v>
      </c>
    </row>
    <row r="386" spans="1:18" x14ac:dyDescent="0.25">
      <c r="A386" t="s">
        <v>451</v>
      </c>
      <c r="B386" s="1">
        <v>41957</v>
      </c>
      <c r="C386">
        <v>2014</v>
      </c>
      <c r="D386" t="s">
        <v>36</v>
      </c>
      <c r="E386" t="str">
        <f t="shared" si="10"/>
        <v>South</v>
      </c>
      <c r="F386" t="s">
        <v>77</v>
      </c>
      <c r="G386" t="s">
        <v>38</v>
      </c>
      <c r="H386" t="s">
        <v>56</v>
      </c>
      <c r="I386">
        <v>63.29</v>
      </c>
      <c r="J386">
        <v>79.31</v>
      </c>
      <c r="K386">
        <v>1253.1199999999999</v>
      </c>
      <c r="L386" t="str">
        <f t="shared" si="11"/>
        <v>Low</v>
      </c>
      <c r="M386" t="s">
        <v>21</v>
      </c>
      <c r="N386" t="s">
        <v>41</v>
      </c>
      <c r="O386">
        <v>113.33</v>
      </c>
      <c r="P386">
        <v>838.52</v>
      </c>
      <c r="Q386" t="s">
        <v>42</v>
      </c>
      <c r="R386">
        <v>25.41</v>
      </c>
    </row>
    <row r="387" spans="1:18" x14ac:dyDescent="0.25">
      <c r="A387" t="s">
        <v>452</v>
      </c>
      <c r="B387" s="1">
        <v>44257</v>
      </c>
      <c r="C387">
        <v>2020</v>
      </c>
      <c r="D387" t="s">
        <v>25</v>
      </c>
      <c r="E387" t="str">
        <f t="shared" ref="E387:E450" si="12">INDEX($U$2:$U$8,MATCH(D387,$T$2:$T$8,0))</f>
        <v>North</v>
      </c>
      <c r="F387" t="s">
        <v>26</v>
      </c>
      <c r="G387" t="s">
        <v>38</v>
      </c>
      <c r="H387" t="s">
        <v>20</v>
      </c>
      <c r="I387">
        <v>2.4900000000000002</v>
      </c>
      <c r="J387">
        <v>14.36</v>
      </c>
      <c r="K387">
        <v>5766.34</v>
      </c>
      <c r="L387" t="str">
        <f t="shared" ref="L387:L450" si="13">IF(K387&gt;=5000,"High",IF(K387&gt;=3000,"Medium","Low"))</f>
        <v>High</v>
      </c>
      <c r="M387" t="s">
        <v>21</v>
      </c>
      <c r="N387" t="s">
        <v>47</v>
      </c>
      <c r="O387">
        <v>148.94999999999999</v>
      </c>
      <c r="P387">
        <v>443.09</v>
      </c>
      <c r="Q387" t="s">
        <v>23</v>
      </c>
      <c r="R387">
        <v>28.72</v>
      </c>
    </row>
    <row r="388" spans="1:18" x14ac:dyDescent="0.25">
      <c r="A388" t="s">
        <v>453</v>
      </c>
      <c r="B388" s="1">
        <v>44752</v>
      </c>
      <c r="C388">
        <v>2022</v>
      </c>
      <c r="D388" t="s">
        <v>103</v>
      </c>
      <c r="E388" t="str">
        <f t="shared" si="12"/>
        <v>North</v>
      </c>
      <c r="F388" t="s">
        <v>107</v>
      </c>
      <c r="G388" t="s">
        <v>33</v>
      </c>
      <c r="H388" t="s">
        <v>56</v>
      </c>
      <c r="I388">
        <v>16.61</v>
      </c>
      <c r="J388">
        <v>25.72</v>
      </c>
      <c r="K388">
        <v>1548.41</v>
      </c>
      <c r="L388" t="str">
        <f t="shared" si="13"/>
        <v>Low</v>
      </c>
      <c r="M388" t="s">
        <v>34</v>
      </c>
      <c r="N388" t="s">
        <v>47</v>
      </c>
      <c r="O388">
        <v>282.70999999999998</v>
      </c>
      <c r="P388">
        <v>1196.97</v>
      </c>
      <c r="Q388" t="s">
        <v>23</v>
      </c>
      <c r="R388">
        <v>20.9</v>
      </c>
    </row>
    <row r="389" spans="1:18" x14ac:dyDescent="0.25">
      <c r="A389" t="s">
        <v>454</v>
      </c>
      <c r="B389" s="1">
        <v>41310</v>
      </c>
      <c r="C389">
        <v>2012</v>
      </c>
      <c r="D389" t="s">
        <v>44</v>
      </c>
      <c r="E389" t="str">
        <f t="shared" si="12"/>
        <v>East</v>
      </c>
      <c r="F389" t="s">
        <v>45</v>
      </c>
      <c r="G389" t="s">
        <v>38</v>
      </c>
      <c r="H389" t="s">
        <v>56</v>
      </c>
      <c r="I389">
        <v>32.36</v>
      </c>
      <c r="J389">
        <v>140.77000000000001</v>
      </c>
      <c r="K389">
        <v>4350.1000000000004</v>
      </c>
      <c r="L389" t="str">
        <f t="shared" si="13"/>
        <v>Medium</v>
      </c>
      <c r="M389" t="s">
        <v>34</v>
      </c>
      <c r="N389" t="s">
        <v>49</v>
      </c>
      <c r="O389">
        <v>251.38</v>
      </c>
      <c r="P389">
        <v>638.72</v>
      </c>
      <c r="Q389" t="s">
        <v>42</v>
      </c>
      <c r="R389">
        <v>20.32</v>
      </c>
    </row>
    <row r="390" spans="1:18" x14ac:dyDescent="0.25">
      <c r="A390" t="s">
        <v>455</v>
      </c>
      <c r="B390" s="1">
        <v>41910</v>
      </c>
      <c r="C390">
        <v>2014</v>
      </c>
      <c r="D390" t="s">
        <v>17</v>
      </c>
      <c r="E390" t="str">
        <f t="shared" si="12"/>
        <v>North</v>
      </c>
      <c r="F390" t="s">
        <v>18</v>
      </c>
      <c r="G390" t="s">
        <v>33</v>
      </c>
      <c r="H390" t="s">
        <v>46</v>
      </c>
      <c r="I390">
        <v>70.959999999999994</v>
      </c>
      <c r="J390">
        <v>308.97000000000003</v>
      </c>
      <c r="K390">
        <v>4354.1499999999996</v>
      </c>
      <c r="L390" t="str">
        <f t="shared" si="13"/>
        <v>Medium</v>
      </c>
      <c r="M390" t="s">
        <v>28</v>
      </c>
      <c r="N390" t="s">
        <v>49</v>
      </c>
      <c r="O390">
        <v>97.44</v>
      </c>
      <c r="P390">
        <v>386.63</v>
      </c>
      <c r="Q390" t="s">
        <v>70</v>
      </c>
      <c r="R390">
        <v>24.86</v>
      </c>
    </row>
    <row r="391" spans="1:18" x14ac:dyDescent="0.25">
      <c r="A391" t="s">
        <v>456</v>
      </c>
      <c r="B391" s="1">
        <v>43299</v>
      </c>
      <c r="C391">
        <v>2018</v>
      </c>
      <c r="D391" t="s">
        <v>44</v>
      </c>
      <c r="E391" t="str">
        <f t="shared" si="12"/>
        <v>East</v>
      </c>
      <c r="F391" t="s">
        <v>67</v>
      </c>
      <c r="G391" t="s">
        <v>33</v>
      </c>
      <c r="H391" t="s">
        <v>64</v>
      </c>
      <c r="I391">
        <v>53.58</v>
      </c>
      <c r="J391">
        <v>198.05</v>
      </c>
      <c r="K391">
        <v>3696.31</v>
      </c>
      <c r="L391" t="str">
        <f t="shared" si="13"/>
        <v>Medium</v>
      </c>
      <c r="M391" t="s">
        <v>34</v>
      </c>
      <c r="N391" t="s">
        <v>22</v>
      </c>
      <c r="O391">
        <v>185.4</v>
      </c>
      <c r="P391">
        <v>654.08000000000004</v>
      </c>
      <c r="Q391" t="s">
        <v>61</v>
      </c>
      <c r="R391">
        <v>25.69</v>
      </c>
    </row>
    <row r="392" spans="1:18" x14ac:dyDescent="0.25">
      <c r="A392" t="s">
        <v>457</v>
      </c>
      <c r="B392" s="1">
        <v>44670</v>
      </c>
      <c r="C392">
        <v>2022</v>
      </c>
      <c r="D392" t="s">
        <v>59</v>
      </c>
      <c r="E392" t="str">
        <f t="shared" si="12"/>
        <v>East</v>
      </c>
      <c r="F392" t="s">
        <v>63</v>
      </c>
      <c r="G392" t="s">
        <v>19</v>
      </c>
      <c r="H392" t="s">
        <v>56</v>
      </c>
      <c r="I392">
        <v>32.75</v>
      </c>
      <c r="J392">
        <v>45.2</v>
      </c>
      <c r="K392">
        <v>1380.05</v>
      </c>
      <c r="L392" t="str">
        <f t="shared" si="13"/>
        <v>Low</v>
      </c>
      <c r="M392" t="s">
        <v>28</v>
      </c>
      <c r="N392" t="s">
        <v>49</v>
      </c>
      <c r="O392">
        <v>97.47</v>
      </c>
      <c r="P392">
        <v>883.22</v>
      </c>
      <c r="Q392" t="s">
        <v>61</v>
      </c>
      <c r="R392">
        <v>22.31</v>
      </c>
    </row>
    <row r="393" spans="1:18" x14ac:dyDescent="0.25">
      <c r="A393" t="s">
        <v>458</v>
      </c>
      <c r="B393" s="1">
        <v>42181</v>
      </c>
      <c r="C393">
        <v>2015</v>
      </c>
      <c r="D393" t="s">
        <v>36</v>
      </c>
      <c r="E393" t="str">
        <f t="shared" si="12"/>
        <v>South</v>
      </c>
      <c r="F393" t="s">
        <v>77</v>
      </c>
      <c r="G393" t="s">
        <v>33</v>
      </c>
      <c r="H393" t="s">
        <v>64</v>
      </c>
      <c r="I393">
        <v>52.8</v>
      </c>
      <c r="J393">
        <v>73.92</v>
      </c>
      <c r="K393">
        <v>1400.08</v>
      </c>
      <c r="L393" t="str">
        <f t="shared" si="13"/>
        <v>Low</v>
      </c>
      <c r="M393" t="s">
        <v>40</v>
      </c>
      <c r="N393" t="s">
        <v>22</v>
      </c>
      <c r="O393">
        <v>94.66</v>
      </c>
      <c r="P393">
        <v>231.27</v>
      </c>
      <c r="Q393" t="s">
        <v>23</v>
      </c>
      <c r="R393">
        <v>27.28</v>
      </c>
    </row>
    <row r="394" spans="1:18" x14ac:dyDescent="0.25">
      <c r="A394" t="s">
        <v>459</v>
      </c>
      <c r="B394" s="1">
        <v>42519</v>
      </c>
      <c r="C394">
        <v>2016</v>
      </c>
      <c r="D394" t="s">
        <v>59</v>
      </c>
      <c r="E394" t="str">
        <f t="shared" si="12"/>
        <v>East</v>
      </c>
      <c r="F394" t="s">
        <v>93</v>
      </c>
      <c r="G394" t="s">
        <v>19</v>
      </c>
      <c r="H394" t="s">
        <v>46</v>
      </c>
      <c r="I394">
        <v>53.06</v>
      </c>
      <c r="J394">
        <v>276.33</v>
      </c>
      <c r="K394">
        <v>5207.88</v>
      </c>
      <c r="L394" t="str">
        <f t="shared" si="13"/>
        <v>High</v>
      </c>
      <c r="M394" t="s">
        <v>34</v>
      </c>
      <c r="N394" t="s">
        <v>41</v>
      </c>
      <c r="O394">
        <v>62.27</v>
      </c>
      <c r="P394">
        <v>420.72</v>
      </c>
      <c r="Q394" t="s">
        <v>23</v>
      </c>
      <c r="R394">
        <v>20.2</v>
      </c>
    </row>
    <row r="395" spans="1:18" x14ac:dyDescent="0.25">
      <c r="A395" t="s">
        <v>460</v>
      </c>
      <c r="B395" s="1">
        <v>40916</v>
      </c>
      <c r="C395">
        <v>2011</v>
      </c>
      <c r="D395" t="s">
        <v>17</v>
      </c>
      <c r="E395" t="str">
        <f t="shared" si="12"/>
        <v>North</v>
      </c>
      <c r="F395" t="s">
        <v>72</v>
      </c>
      <c r="G395" t="s">
        <v>38</v>
      </c>
      <c r="H395" t="s">
        <v>39</v>
      </c>
      <c r="I395">
        <v>7.01</v>
      </c>
      <c r="J395">
        <v>30.48</v>
      </c>
      <c r="K395">
        <v>4348.12</v>
      </c>
      <c r="L395" t="str">
        <f t="shared" si="13"/>
        <v>Medium</v>
      </c>
      <c r="M395" t="s">
        <v>28</v>
      </c>
      <c r="N395" t="s">
        <v>47</v>
      </c>
      <c r="O395">
        <v>255.51</v>
      </c>
      <c r="P395">
        <v>994.25</v>
      </c>
      <c r="Q395" t="s">
        <v>23</v>
      </c>
      <c r="R395">
        <v>32.35</v>
      </c>
    </row>
    <row r="396" spans="1:18" x14ac:dyDescent="0.25">
      <c r="A396" t="s">
        <v>461</v>
      </c>
      <c r="B396" s="1">
        <v>40982</v>
      </c>
      <c r="C396">
        <v>2011</v>
      </c>
      <c r="D396" t="s">
        <v>25</v>
      </c>
      <c r="E396" t="str">
        <f t="shared" si="12"/>
        <v>North</v>
      </c>
      <c r="F396" t="s">
        <v>69</v>
      </c>
      <c r="G396" t="s">
        <v>38</v>
      </c>
      <c r="H396" t="s">
        <v>64</v>
      </c>
      <c r="I396">
        <v>94.52</v>
      </c>
      <c r="J396">
        <v>639.29</v>
      </c>
      <c r="K396">
        <v>6763.52</v>
      </c>
      <c r="L396" t="str">
        <f t="shared" si="13"/>
        <v>High</v>
      </c>
      <c r="M396" t="s">
        <v>21</v>
      </c>
      <c r="N396" t="s">
        <v>41</v>
      </c>
      <c r="O396">
        <v>75.31</v>
      </c>
      <c r="P396">
        <v>431.02</v>
      </c>
      <c r="Q396" t="s">
        <v>52</v>
      </c>
      <c r="R396">
        <v>22.84</v>
      </c>
    </row>
    <row r="397" spans="1:18" x14ac:dyDescent="0.25">
      <c r="A397" t="s">
        <v>462</v>
      </c>
      <c r="B397" s="1">
        <v>41010</v>
      </c>
      <c r="C397">
        <v>2012</v>
      </c>
      <c r="D397" t="s">
        <v>59</v>
      </c>
      <c r="E397" t="str">
        <f t="shared" si="12"/>
        <v>East</v>
      </c>
      <c r="F397" t="s">
        <v>93</v>
      </c>
      <c r="G397" t="s">
        <v>19</v>
      </c>
      <c r="H397" t="s">
        <v>39</v>
      </c>
      <c r="I397">
        <v>56.26</v>
      </c>
      <c r="J397">
        <v>308.12</v>
      </c>
      <c r="K397">
        <v>5476.65</v>
      </c>
      <c r="L397" t="str">
        <f t="shared" si="13"/>
        <v>High</v>
      </c>
      <c r="M397" t="s">
        <v>34</v>
      </c>
      <c r="N397" t="s">
        <v>41</v>
      </c>
      <c r="O397">
        <v>218.62</v>
      </c>
      <c r="P397">
        <v>902.55</v>
      </c>
      <c r="Q397" t="s">
        <v>52</v>
      </c>
      <c r="R397">
        <v>33.24</v>
      </c>
    </row>
    <row r="398" spans="1:18" x14ac:dyDescent="0.25">
      <c r="A398" t="s">
        <v>463</v>
      </c>
      <c r="B398" s="1">
        <v>43488</v>
      </c>
      <c r="C398">
        <v>2018</v>
      </c>
      <c r="D398" t="s">
        <v>59</v>
      </c>
      <c r="E398" t="str">
        <f t="shared" si="12"/>
        <v>East</v>
      </c>
      <c r="F398" t="s">
        <v>63</v>
      </c>
      <c r="G398" t="s">
        <v>38</v>
      </c>
      <c r="H398" t="s">
        <v>39</v>
      </c>
      <c r="I398">
        <v>16.66</v>
      </c>
      <c r="J398">
        <v>116.46</v>
      </c>
      <c r="K398">
        <v>6990.6</v>
      </c>
      <c r="L398" t="str">
        <f t="shared" si="13"/>
        <v>High</v>
      </c>
      <c r="M398" t="s">
        <v>28</v>
      </c>
      <c r="N398" t="s">
        <v>49</v>
      </c>
      <c r="O398">
        <v>283.38</v>
      </c>
      <c r="P398">
        <v>1102.48</v>
      </c>
      <c r="Q398" t="s">
        <v>61</v>
      </c>
      <c r="R398">
        <v>34.869999999999997</v>
      </c>
    </row>
    <row r="399" spans="1:18" x14ac:dyDescent="0.25">
      <c r="A399" t="s">
        <v>464</v>
      </c>
      <c r="B399" s="1">
        <v>42489</v>
      </c>
      <c r="C399">
        <v>2016</v>
      </c>
      <c r="D399" t="s">
        <v>36</v>
      </c>
      <c r="E399" t="str">
        <f t="shared" si="12"/>
        <v>South</v>
      </c>
      <c r="F399" t="s">
        <v>77</v>
      </c>
      <c r="G399" t="s">
        <v>19</v>
      </c>
      <c r="H399" t="s">
        <v>20</v>
      </c>
      <c r="I399">
        <v>61.23</v>
      </c>
      <c r="J399">
        <v>268.12</v>
      </c>
      <c r="K399">
        <v>4378.87</v>
      </c>
      <c r="L399" t="str">
        <f t="shared" si="13"/>
        <v>Medium</v>
      </c>
      <c r="M399" t="s">
        <v>40</v>
      </c>
      <c r="N399" t="s">
        <v>29</v>
      </c>
      <c r="O399">
        <v>143.77000000000001</v>
      </c>
      <c r="P399">
        <v>750.24</v>
      </c>
      <c r="Q399" t="s">
        <v>70</v>
      </c>
      <c r="R399">
        <v>25.4</v>
      </c>
    </row>
    <row r="400" spans="1:18" x14ac:dyDescent="0.25">
      <c r="A400" t="s">
        <v>465</v>
      </c>
      <c r="B400" s="1">
        <v>44353</v>
      </c>
      <c r="C400">
        <v>2021</v>
      </c>
      <c r="D400" t="s">
        <v>36</v>
      </c>
      <c r="E400" t="str">
        <f t="shared" si="12"/>
        <v>South</v>
      </c>
      <c r="F400" t="s">
        <v>37</v>
      </c>
      <c r="G400" t="s">
        <v>33</v>
      </c>
      <c r="H400" t="s">
        <v>20</v>
      </c>
      <c r="I400">
        <v>59.98</v>
      </c>
      <c r="J400">
        <v>246.26</v>
      </c>
      <c r="K400">
        <v>4105.66</v>
      </c>
      <c r="L400" t="str">
        <f t="shared" si="13"/>
        <v>Medium</v>
      </c>
      <c r="M400" t="s">
        <v>34</v>
      </c>
      <c r="N400" t="s">
        <v>49</v>
      </c>
      <c r="O400">
        <v>51.64</v>
      </c>
      <c r="P400">
        <v>1184.3900000000001</v>
      </c>
      <c r="Q400" t="s">
        <v>42</v>
      </c>
      <c r="R400">
        <v>32.840000000000003</v>
      </c>
    </row>
    <row r="401" spans="1:18" x14ac:dyDescent="0.25">
      <c r="A401" t="s">
        <v>466</v>
      </c>
      <c r="B401" s="1">
        <v>43207</v>
      </c>
      <c r="C401">
        <v>2018</v>
      </c>
      <c r="D401" t="s">
        <v>59</v>
      </c>
      <c r="E401" t="str">
        <f t="shared" si="12"/>
        <v>East</v>
      </c>
      <c r="F401" t="s">
        <v>93</v>
      </c>
      <c r="G401" t="s">
        <v>19</v>
      </c>
      <c r="H401" t="s">
        <v>27</v>
      </c>
      <c r="I401">
        <v>16.32</v>
      </c>
      <c r="J401">
        <v>20.02</v>
      </c>
      <c r="K401">
        <v>1226.42</v>
      </c>
      <c r="L401" t="str">
        <f t="shared" si="13"/>
        <v>Low</v>
      </c>
      <c r="M401" t="s">
        <v>34</v>
      </c>
      <c r="N401" t="s">
        <v>49</v>
      </c>
      <c r="O401">
        <v>89.03</v>
      </c>
      <c r="P401">
        <v>464.99</v>
      </c>
      <c r="Q401" t="s">
        <v>61</v>
      </c>
      <c r="R401">
        <v>23.75</v>
      </c>
    </row>
    <row r="402" spans="1:18" x14ac:dyDescent="0.25">
      <c r="A402" t="s">
        <v>467</v>
      </c>
      <c r="B402" s="1">
        <v>42467</v>
      </c>
      <c r="C402">
        <v>2016</v>
      </c>
      <c r="D402" t="s">
        <v>25</v>
      </c>
      <c r="E402" t="str">
        <f t="shared" si="12"/>
        <v>North</v>
      </c>
      <c r="F402" t="s">
        <v>69</v>
      </c>
      <c r="G402" t="s">
        <v>19</v>
      </c>
      <c r="H402" t="s">
        <v>56</v>
      </c>
      <c r="I402">
        <v>73.69</v>
      </c>
      <c r="J402">
        <v>393.61</v>
      </c>
      <c r="K402">
        <v>5341.48</v>
      </c>
      <c r="L402" t="str">
        <f t="shared" si="13"/>
        <v>High</v>
      </c>
      <c r="M402" t="s">
        <v>28</v>
      </c>
      <c r="N402" t="s">
        <v>47</v>
      </c>
      <c r="O402">
        <v>93.23</v>
      </c>
      <c r="P402">
        <v>1025.71</v>
      </c>
      <c r="Q402" t="s">
        <v>61</v>
      </c>
      <c r="R402">
        <v>32.29</v>
      </c>
    </row>
    <row r="403" spans="1:18" x14ac:dyDescent="0.25">
      <c r="A403" t="s">
        <v>468</v>
      </c>
      <c r="B403" s="1">
        <v>40276</v>
      </c>
      <c r="C403">
        <v>2010</v>
      </c>
      <c r="D403" t="s">
        <v>17</v>
      </c>
      <c r="E403" t="str">
        <f t="shared" si="12"/>
        <v>North</v>
      </c>
      <c r="F403" t="s">
        <v>72</v>
      </c>
      <c r="G403" t="s">
        <v>19</v>
      </c>
      <c r="H403" t="s">
        <v>27</v>
      </c>
      <c r="I403">
        <v>38.770000000000003</v>
      </c>
      <c r="J403">
        <v>220.24</v>
      </c>
      <c r="K403">
        <v>5680.73</v>
      </c>
      <c r="L403" t="str">
        <f t="shared" si="13"/>
        <v>High</v>
      </c>
      <c r="M403" t="s">
        <v>34</v>
      </c>
      <c r="N403" t="s">
        <v>41</v>
      </c>
      <c r="O403">
        <v>136.97999999999999</v>
      </c>
      <c r="P403">
        <v>1017.14</v>
      </c>
      <c r="Q403" t="s">
        <v>52</v>
      </c>
      <c r="R403">
        <v>33.950000000000003</v>
      </c>
    </row>
    <row r="404" spans="1:18" x14ac:dyDescent="0.25">
      <c r="A404" t="s">
        <v>469</v>
      </c>
      <c r="B404" s="1">
        <v>43745</v>
      </c>
      <c r="C404">
        <v>2019</v>
      </c>
      <c r="D404" t="s">
        <v>17</v>
      </c>
      <c r="E404" t="str">
        <f t="shared" si="12"/>
        <v>North</v>
      </c>
      <c r="F404" t="s">
        <v>54</v>
      </c>
      <c r="G404" t="s">
        <v>33</v>
      </c>
      <c r="H404" t="s">
        <v>39</v>
      </c>
      <c r="I404">
        <v>77.959999999999994</v>
      </c>
      <c r="J404">
        <v>256.87</v>
      </c>
      <c r="K404">
        <v>3294.92</v>
      </c>
      <c r="L404" t="str">
        <f t="shared" si="13"/>
        <v>Medium</v>
      </c>
      <c r="M404" t="s">
        <v>34</v>
      </c>
      <c r="N404" t="s">
        <v>41</v>
      </c>
      <c r="O404">
        <v>181.1</v>
      </c>
      <c r="P404">
        <v>519.32000000000005</v>
      </c>
      <c r="Q404" t="s">
        <v>61</v>
      </c>
      <c r="R404">
        <v>22.24</v>
      </c>
    </row>
    <row r="405" spans="1:18" x14ac:dyDescent="0.25">
      <c r="A405" t="s">
        <v>470</v>
      </c>
      <c r="B405" s="1">
        <v>43943</v>
      </c>
      <c r="C405">
        <v>2020</v>
      </c>
      <c r="D405" t="s">
        <v>103</v>
      </c>
      <c r="E405" t="str">
        <f t="shared" si="12"/>
        <v>North</v>
      </c>
      <c r="F405" t="s">
        <v>104</v>
      </c>
      <c r="G405" t="s">
        <v>19</v>
      </c>
      <c r="H405" t="s">
        <v>46</v>
      </c>
      <c r="I405">
        <v>97.13</v>
      </c>
      <c r="J405">
        <v>535.87</v>
      </c>
      <c r="K405">
        <v>5517.04</v>
      </c>
      <c r="L405" t="str">
        <f t="shared" si="13"/>
        <v>High</v>
      </c>
      <c r="M405" t="s">
        <v>21</v>
      </c>
      <c r="N405" t="s">
        <v>22</v>
      </c>
      <c r="O405">
        <v>105.52</v>
      </c>
      <c r="P405">
        <v>489.78</v>
      </c>
      <c r="Q405" t="s">
        <v>52</v>
      </c>
      <c r="R405">
        <v>22.22</v>
      </c>
    </row>
    <row r="406" spans="1:18" x14ac:dyDescent="0.25">
      <c r="A406" t="s">
        <v>471</v>
      </c>
      <c r="B406" s="1">
        <v>44398</v>
      </c>
      <c r="C406">
        <v>2021</v>
      </c>
      <c r="D406" t="s">
        <v>36</v>
      </c>
      <c r="E406" t="str">
        <f t="shared" si="12"/>
        <v>South</v>
      </c>
      <c r="F406" t="s">
        <v>77</v>
      </c>
      <c r="G406" t="s">
        <v>33</v>
      </c>
      <c r="H406" t="s">
        <v>27</v>
      </c>
      <c r="I406">
        <v>40.520000000000003</v>
      </c>
      <c r="J406">
        <v>61.2</v>
      </c>
      <c r="K406">
        <v>1510.47</v>
      </c>
      <c r="L406" t="str">
        <f t="shared" si="13"/>
        <v>Low</v>
      </c>
      <c r="M406" t="s">
        <v>28</v>
      </c>
      <c r="N406" t="s">
        <v>29</v>
      </c>
      <c r="O406">
        <v>243.46</v>
      </c>
      <c r="P406">
        <v>330.38</v>
      </c>
      <c r="Q406" t="s">
        <v>42</v>
      </c>
      <c r="R406">
        <v>27.21</v>
      </c>
    </row>
    <row r="407" spans="1:18" x14ac:dyDescent="0.25">
      <c r="A407" t="s">
        <v>472</v>
      </c>
      <c r="B407" s="1">
        <v>43764</v>
      </c>
      <c r="C407">
        <v>2019</v>
      </c>
      <c r="D407" t="s">
        <v>36</v>
      </c>
      <c r="E407" t="str">
        <f t="shared" si="12"/>
        <v>South</v>
      </c>
      <c r="F407" t="s">
        <v>77</v>
      </c>
      <c r="G407" t="s">
        <v>33</v>
      </c>
      <c r="H407" t="s">
        <v>27</v>
      </c>
      <c r="I407">
        <v>61.98</v>
      </c>
      <c r="J407">
        <v>335.56</v>
      </c>
      <c r="K407">
        <v>5414.01</v>
      </c>
      <c r="L407" t="str">
        <f t="shared" si="13"/>
        <v>High</v>
      </c>
      <c r="M407" t="s">
        <v>40</v>
      </c>
      <c r="N407" t="s">
        <v>22</v>
      </c>
      <c r="O407">
        <v>110.58</v>
      </c>
      <c r="P407">
        <v>466.26</v>
      </c>
      <c r="Q407" t="s">
        <v>52</v>
      </c>
      <c r="R407">
        <v>24.85</v>
      </c>
    </row>
    <row r="408" spans="1:18" x14ac:dyDescent="0.25">
      <c r="A408" t="s">
        <v>473</v>
      </c>
      <c r="B408" s="1">
        <v>42788</v>
      </c>
      <c r="C408">
        <v>2016</v>
      </c>
      <c r="D408" t="s">
        <v>25</v>
      </c>
      <c r="E408" t="str">
        <f t="shared" si="12"/>
        <v>North</v>
      </c>
      <c r="F408" t="s">
        <v>69</v>
      </c>
      <c r="G408" t="s">
        <v>38</v>
      </c>
      <c r="H408" t="s">
        <v>20</v>
      </c>
      <c r="I408">
        <v>35.479999999999997</v>
      </c>
      <c r="J408">
        <v>103.76</v>
      </c>
      <c r="K408">
        <v>2924.43</v>
      </c>
      <c r="L408" t="str">
        <f t="shared" si="13"/>
        <v>Low</v>
      </c>
      <c r="M408" t="s">
        <v>21</v>
      </c>
      <c r="N408" t="s">
        <v>47</v>
      </c>
      <c r="O408">
        <v>242.42</v>
      </c>
      <c r="P408">
        <v>369.26</v>
      </c>
      <c r="Q408" t="s">
        <v>70</v>
      </c>
      <c r="R408">
        <v>29.24</v>
      </c>
    </row>
    <row r="409" spans="1:18" x14ac:dyDescent="0.25">
      <c r="A409" t="s">
        <v>474</v>
      </c>
      <c r="B409" s="1">
        <v>40403</v>
      </c>
      <c r="C409">
        <v>2010</v>
      </c>
      <c r="D409" t="s">
        <v>103</v>
      </c>
      <c r="E409" t="str">
        <f t="shared" si="12"/>
        <v>North</v>
      </c>
      <c r="F409" t="s">
        <v>107</v>
      </c>
      <c r="G409" t="s">
        <v>33</v>
      </c>
      <c r="H409" t="s">
        <v>56</v>
      </c>
      <c r="I409">
        <v>68.849999999999994</v>
      </c>
      <c r="J409">
        <v>133.29</v>
      </c>
      <c r="K409">
        <v>1935.95</v>
      </c>
      <c r="L409" t="str">
        <f t="shared" si="13"/>
        <v>Low</v>
      </c>
      <c r="M409" t="s">
        <v>21</v>
      </c>
      <c r="N409" t="s">
        <v>22</v>
      </c>
      <c r="O409">
        <v>78.09</v>
      </c>
      <c r="P409">
        <v>254.54</v>
      </c>
      <c r="Q409" t="s">
        <v>61</v>
      </c>
      <c r="R409">
        <v>33.9</v>
      </c>
    </row>
    <row r="410" spans="1:18" x14ac:dyDescent="0.25">
      <c r="A410" t="s">
        <v>475</v>
      </c>
      <c r="B410" s="1">
        <v>44779</v>
      </c>
      <c r="C410">
        <v>2022</v>
      </c>
      <c r="D410" t="s">
        <v>31</v>
      </c>
      <c r="E410" t="str">
        <f t="shared" si="12"/>
        <v>West</v>
      </c>
      <c r="F410" t="s">
        <v>117</v>
      </c>
      <c r="G410" t="s">
        <v>33</v>
      </c>
      <c r="H410" t="s">
        <v>20</v>
      </c>
      <c r="I410">
        <v>45.56</v>
      </c>
      <c r="J410">
        <v>51.78</v>
      </c>
      <c r="K410">
        <v>1136.49</v>
      </c>
      <c r="L410" t="str">
        <f t="shared" si="13"/>
        <v>Low</v>
      </c>
      <c r="M410" t="s">
        <v>40</v>
      </c>
      <c r="N410" t="s">
        <v>47</v>
      </c>
      <c r="O410">
        <v>235</v>
      </c>
      <c r="P410">
        <v>411.88</v>
      </c>
      <c r="Q410" t="s">
        <v>61</v>
      </c>
      <c r="R410">
        <v>27.85</v>
      </c>
    </row>
    <row r="411" spans="1:18" x14ac:dyDescent="0.25">
      <c r="A411" t="s">
        <v>476</v>
      </c>
      <c r="B411" s="1">
        <v>44417</v>
      </c>
      <c r="C411">
        <v>2021</v>
      </c>
      <c r="D411" t="s">
        <v>36</v>
      </c>
      <c r="E411" t="str">
        <f t="shared" si="12"/>
        <v>South</v>
      </c>
      <c r="F411" t="s">
        <v>77</v>
      </c>
      <c r="G411" t="s">
        <v>33</v>
      </c>
      <c r="H411" t="s">
        <v>39</v>
      </c>
      <c r="I411">
        <v>70.180000000000007</v>
      </c>
      <c r="J411">
        <v>77.92</v>
      </c>
      <c r="K411">
        <v>1110.33</v>
      </c>
      <c r="L411" t="str">
        <f t="shared" si="13"/>
        <v>Low</v>
      </c>
      <c r="M411" t="s">
        <v>21</v>
      </c>
      <c r="N411" t="s">
        <v>22</v>
      </c>
      <c r="O411">
        <v>113.86</v>
      </c>
      <c r="P411">
        <v>260.11</v>
      </c>
      <c r="Q411" t="s">
        <v>42</v>
      </c>
      <c r="R411">
        <v>31.84</v>
      </c>
    </row>
    <row r="412" spans="1:18" x14ac:dyDescent="0.25">
      <c r="A412" t="s">
        <v>477</v>
      </c>
      <c r="B412" s="1">
        <v>40427</v>
      </c>
      <c r="C412">
        <v>2010</v>
      </c>
      <c r="D412" t="s">
        <v>36</v>
      </c>
      <c r="E412" t="str">
        <f t="shared" si="12"/>
        <v>South</v>
      </c>
      <c r="F412" t="s">
        <v>77</v>
      </c>
      <c r="G412" t="s">
        <v>33</v>
      </c>
      <c r="H412" t="s">
        <v>46</v>
      </c>
      <c r="I412">
        <v>66.38</v>
      </c>
      <c r="J412">
        <v>330.43</v>
      </c>
      <c r="K412">
        <v>4977.8900000000003</v>
      </c>
      <c r="L412" t="str">
        <f t="shared" si="13"/>
        <v>Medium</v>
      </c>
      <c r="M412" t="s">
        <v>34</v>
      </c>
      <c r="N412" t="s">
        <v>47</v>
      </c>
      <c r="O412">
        <v>266.07</v>
      </c>
      <c r="P412">
        <v>219.08</v>
      </c>
      <c r="Q412" t="s">
        <v>52</v>
      </c>
      <c r="R412">
        <v>23.47</v>
      </c>
    </row>
    <row r="413" spans="1:18" x14ac:dyDescent="0.25">
      <c r="A413" t="s">
        <v>478</v>
      </c>
      <c r="B413" s="1">
        <v>42444</v>
      </c>
      <c r="C413">
        <v>2015</v>
      </c>
      <c r="D413" t="s">
        <v>17</v>
      </c>
      <c r="E413" t="str">
        <f t="shared" si="12"/>
        <v>North</v>
      </c>
      <c r="F413" t="s">
        <v>18</v>
      </c>
      <c r="G413" t="s">
        <v>38</v>
      </c>
      <c r="H413" t="s">
        <v>27</v>
      </c>
      <c r="I413">
        <v>53.62</v>
      </c>
      <c r="J413">
        <v>113.59</v>
      </c>
      <c r="K413">
        <v>2118.5</v>
      </c>
      <c r="L413" t="str">
        <f t="shared" si="13"/>
        <v>Low</v>
      </c>
      <c r="M413" t="s">
        <v>28</v>
      </c>
      <c r="N413" t="s">
        <v>49</v>
      </c>
      <c r="O413">
        <v>190.17</v>
      </c>
      <c r="P413">
        <v>912.47</v>
      </c>
      <c r="Q413" t="s">
        <v>23</v>
      </c>
      <c r="R413">
        <v>23.71</v>
      </c>
    </row>
    <row r="414" spans="1:18" x14ac:dyDescent="0.25">
      <c r="A414" t="s">
        <v>479</v>
      </c>
      <c r="B414" s="1">
        <v>42464</v>
      </c>
      <c r="C414">
        <v>2016</v>
      </c>
      <c r="D414" t="s">
        <v>31</v>
      </c>
      <c r="E414" t="str">
        <f t="shared" si="12"/>
        <v>West</v>
      </c>
      <c r="F414" t="s">
        <v>32</v>
      </c>
      <c r="G414" t="s">
        <v>19</v>
      </c>
      <c r="H414" t="s">
        <v>56</v>
      </c>
      <c r="I414">
        <v>2.82</v>
      </c>
      <c r="J414">
        <v>14.4</v>
      </c>
      <c r="K414">
        <v>5105.87</v>
      </c>
      <c r="L414" t="str">
        <f t="shared" si="13"/>
        <v>High</v>
      </c>
      <c r="M414" t="s">
        <v>34</v>
      </c>
      <c r="N414" t="s">
        <v>49</v>
      </c>
      <c r="O414">
        <v>206.31</v>
      </c>
      <c r="P414">
        <v>436.2</v>
      </c>
      <c r="Q414" t="s">
        <v>61</v>
      </c>
      <c r="R414">
        <v>24.14</v>
      </c>
    </row>
    <row r="415" spans="1:18" x14ac:dyDescent="0.25">
      <c r="A415" t="s">
        <v>480</v>
      </c>
      <c r="B415" s="1">
        <v>43463</v>
      </c>
      <c r="C415">
        <v>2018</v>
      </c>
      <c r="D415" t="s">
        <v>36</v>
      </c>
      <c r="E415" t="str">
        <f t="shared" si="12"/>
        <v>South</v>
      </c>
      <c r="F415" t="s">
        <v>37</v>
      </c>
      <c r="G415" t="s">
        <v>38</v>
      </c>
      <c r="H415" t="s">
        <v>56</v>
      </c>
      <c r="I415">
        <v>16.02</v>
      </c>
      <c r="J415">
        <v>102.26</v>
      </c>
      <c r="K415">
        <v>6383.05</v>
      </c>
      <c r="L415" t="str">
        <f t="shared" si="13"/>
        <v>High</v>
      </c>
      <c r="M415" t="s">
        <v>40</v>
      </c>
      <c r="N415" t="s">
        <v>29</v>
      </c>
      <c r="O415">
        <v>71.95</v>
      </c>
      <c r="P415">
        <v>582.21</v>
      </c>
      <c r="Q415" t="s">
        <v>61</v>
      </c>
      <c r="R415">
        <v>33.090000000000003</v>
      </c>
    </row>
    <row r="416" spans="1:18" x14ac:dyDescent="0.25">
      <c r="A416" t="s">
        <v>481</v>
      </c>
      <c r="B416" s="1">
        <v>41265</v>
      </c>
      <c r="C416">
        <v>2012</v>
      </c>
      <c r="D416" t="s">
        <v>103</v>
      </c>
      <c r="E416" t="str">
        <f t="shared" si="12"/>
        <v>North</v>
      </c>
      <c r="F416" t="s">
        <v>228</v>
      </c>
      <c r="G416" t="s">
        <v>38</v>
      </c>
      <c r="H416" t="s">
        <v>20</v>
      </c>
      <c r="I416">
        <v>91.06</v>
      </c>
      <c r="J416">
        <v>270.97000000000003</v>
      </c>
      <c r="K416">
        <v>2975.71</v>
      </c>
      <c r="L416" t="str">
        <f t="shared" si="13"/>
        <v>Low</v>
      </c>
      <c r="M416" t="s">
        <v>40</v>
      </c>
      <c r="N416" t="s">
        <v>41</v>
      </c>
      <c r="O416">
        <v>101.69</v>
      </c>
      <c r="P416">
        <v>338.58</v>
      </c>
      <c r="Q416" t="s">
        <v>61</v>
      </c>
      <c r="R416">
        <v>30.26</v>
      </c>
    </row>
    <row r="417" spans="1:18" x14ac:dyDescent="0.25">
      <c r="A417" t="s">
        <v>482</v>
      </c>
      <c r="B417" s="1">
        <v>44322</v>
      </c>
      <c r="C417">
        <v>2021</v>
      </c>
      <c r="D417" t="s">
        <v>31</v>
      </c>
      <c r="E417" t="str">
        <f t="shared" si="12"/>
        <v>West</v>
      </c>
      <c r="F417" t="s">
        <v>117</v>
      </c>
      <c r="G417" t="s">
        <v>19</v>
      </c>
      <c r="H417" t="s">
        <v>56</v>
      </c>
      <c r="I417">
        <v>43.58</v>
      </c>
      <c r="J417">
        <v>281.27</v>
      </c>
      <c r="K417">
        <v>6454.01</v>
      </c>
      <c r="L417" t="str">
        <f t="shared" si="13"/>
        <v>High</v>
      </c>
      <c r="M417" t="s">
        <v>40</v>
      </c>
      <c r="N417" t="s">
        <v>47</v>
      </c>
      <c r="O417">
        <v>214.06</v>
      </c>
      <c r="P417">
        <v>764.84</v>
      </c>
      <c r="Q417" t="s">
        <v>42</v>
      </c>
      <c r="R417">
        <v>24.76</v>
      </c>
    </row>
    <row r="418" spans="1:18" x14ac:dyDescent="0.25">
      <c r="A418" t="s">
        <v>483</v>
      </c>
      <c r="B418" s="1">
        <v>41262</v>
      </c>
      <c r="C418">
        <v>2012</v>
      </c>
      <c r="D418" t="s">
        <v>17</v>
      </c>
      <c r="E418" t="str">
        <f t="shared" si="12"/>
        <v>North</v>
      </c>
      <c r="F418" t="s">
        <v>18</v>
      </c>
      <c r="G418" t="s">
        <v>38</v>
      </c>
      <c r="H418" t="s">
        <v>56</v>
      </c>
      <c r="I418">
        <v>72.98</v>
      </c>
      <c r="J418">
        <v>408.15</v>
      </c>
      <c r="K418">
        <v>5592.61</v>
      </c>
      <c r="L418" t="str">
        <f t="shared" si="13"/>
        <v>High</v>
      </c>
      <c r="M418" t="s">
        <v>28</v>
      </c>
      <c r="N418" t="s">
        <v>22</v>
      </c>
      <c r="O418">
        <v>290.3</v>
      </c>
      <c r="P418">
        <v>503.35</v>
      </c>
      <c r="Q418" t="s">
        <v>70</v>
      </c>
      <c r="R418">
        <v>22.28</v>
      </c>
    </row>
    <row r="419" spans="1:18" x14ac:dyDescent="0.25">
      <c r="A419" t="s">
        <v>484</v>
      </c>
      <c r="B419" s="1">
        <v>40313</v>
      </c>
      <c r="C419">
        <v>2010</v>
      </c>
      <c r="D419" t="s">
        <v>103</v>
      </c>
      <c r="E419" t="str">
        <f t="shared" si="12"/>
        <v>North</v>
      </c>
      <c r="F419" t="s">
        <v>104</v>
      </c>
      <c r="G419" t="s">
        <v>19</v>
      </c>
      <c r="H419" t="s">
        <v>27</v>
      </c>
      <c r="I419">
        <v>27.42</v>
      </c>
      <c r="J419">
        <v>120.71</v>
      </c>
      <c r="K419">
        <v>4402.26</v>
      </c>
      <c r="L419" t="str">
        <f t="shared" si="13"/>
        <v>Medium</v>
      </c>
      <c r="M419" t="s">
        <v>40</v>
      </c>
      <c r="N419" t="s">
        <v>29</v>
      </c>
      <c r="O419">
        <v>199.09</v>
      </c>
      <c r="P419">
        <v>430.91</v>
      </c>
      <c r="Q419" t="s">
        <v>23</v>
      </c>
      <c r="R419">
        <v>25.39</v>
      </c>
    </row>
    <row r="420" spans="1:18" x14ac:dyDescent="0.25">
      <c r="A420" t="s">
        <v>485</v>
      </c>
      <c r="B420" s="1">
        <v>43874</v>
      </c>
      <c r="C420">
        <v>2019</v>
      </c>
      <c r="D420" t="s">
        <v>103</v>
      </c>
      <c r="E420" t="str">
        <f t="shared" si="12"/>
        <v>North</v>
      </c>
      <c r="F420" t="s">
        <v>228</v>
      </c>
      <c r="G420" t="s">
        <v>38</v>
      </c>
      <c r="H420" t="s">
        <v>39</v>
      </c>
      <c r="I420">
        <v>65.31</v>
      </c>
      <c r="J420">
        <v>137.4</v>
      </c>
      <c r="K420">
        <v>2103.86</v>
      </c>
      <c r="L420" t="str">
        <f t="shared" si="13"/>
        <v>Low</v>
      </c>
      <c r="M420" t="s">
        <v>28</v>
      </c>
      <c r="N420" t="s">
        <v>22</v>
      </c>
      <c r="O420">
        <v>172.86</v>
      </c>
      <c r="P420">
        <v>337.51</v>
      </c>
      <c r="Q420" t="s">
        <v>42</v>
      </c>
      <c r="R420">
        <v>23.39</v>
      </c>
    </row>
    <row r="421" spans="1:18" x14ac:dyDescent="0.25">
      <c r="A421" t="s">
        <v>486</v>
      </c>
      <c r="B421" s="1">
        <v>41396</v>
      </c>
      <c r="C421">
        <v>2013</v>
      </c>
      <c r="D421" t="s">
        <v>31</v>
      </c>
      <c r="E421" t="str">
        <f t="shared" si="12"/>
        <v>West</v>
      </c>
      <c r="F421" t="s">
        <v>32</v>
      </c>
      <c r="G421" t="s">
        <v>19</v>
      </c>
      <c r="H421" t="s">
        <v>39</v>
      </c>
      <c r="I421">
        <v>98.84</v>
      </c>
      <c r="J421">
        <v>548.23</v>
      </c>
      <c r="K421">
        <v>5546.66</v>
      </c>
      <c r="L421" t="str">
        <f t="shared" si="13"/>
        <v>High</v>
      </c>
      <c r="M421" t="s">
        <v>21</v>
      </c>
      <c r="N421" t="s">
        <v>49</v>
      </c>
      <c r="O421">
        <v>94.27</v>
      </c>
      <c r="P421">
        <v>1154.7</v>
      </c>
      <c r="Q421" t="s">
        <v>52</v>
      </c>
      <c r="R421">
        <v>33.01</v>
      </c>
    </row>
    <row r="422" spans="1:18" x14ac:dyDescent="0.25">
      <c r="A422" t="s">
        <v>487</v>
      </c>
      <c r="B422" s="1">
        <v>41713</v>
      </c>
      <c r="C422">
        <v>2013</v>
      </c>
      <c r="D422" t="s">
        <v>44</v>
      </c>
      <c r="E422" t="str">
        <f t="shared" si="12"/>
        <v>East</v>
      </c>
      <c r="F422" t="s">
        <v>99</v>
      </c>
      <c r="G422" t="s">
        <v>38</v>
      </c>
      <c r="H422" t="s">
        <v>46</v>
      </c>
      <c r="I422">
        <v>77.849999999999994</v>
      </c>
      <c r="J422">
        <v>361.81</v>
      </c>
      <c r="K422">
        <v>4647.58</v>
      </c>
      <c r="L422" t="str">
        <f t="shared" si="13"/>
        <v>Medium</v>
      </c>
      <c r="M422" t="s">
        <v>28</v>
      </c>
      <c r="N422" t="s">
        <v>22</v>
      </c>
      <c r="O422">
        <v>230.05</v>
      </c>
      <c r="P422">
        <v>594.15</v>
      </c>
      <c r="Q422" t="s">
        <v>61</v>
      </c>
      <c r="R422">
        <v>28.91</v>
      </c>
    </row>
    <row r="423" spans="1:18" x14ac:dyDescent="0.25">
      <c r="A423" t="s">
        <v>488</v>
      </c>
      <c r="B423" s="1">
        <v>43052</v>
      </c>
      <c r="C423">
        <v>2017</v>
      </c>
      <c r="D423" t="s">
        <v>59</v>
      </c>
      <c r="E423" t="str">
        <f t="shared" si="12"/>
        <v>East</v>
      </c>
      <c r="F423" t="s">
        <v>60</v>
      </c>
      <c r="G423" t="s">
        <v>38</v>
      </c>
      <c r="H423" t="s">
        <v>64</v>
      </c>
      <c r="I423">
        <v>87.9</v>
      </c>
      <c r="J423">
        <v>217.49</v>
      </c>
      <c r="K423">
        <v>2474.33</v>
      </c>
      <c r="L423" t="str">
        <f t="shared" si="13"/>
        <v>Low</v>
      </c>
      <c r="M423" t="s">
        <v>28</v>
      </c>
      <c r="N423" t="s">
        <v>41</v>
      </c>
      <c r="O423">
        <v>295.95999999999998</v>
      </c>
      <c r="P423">
        <v>239.25</v>
      </c>
      <c r="Q423" t="s">
        <v>52</v>
      </c>
      <c r="R423">
        <v>27.74</v>
      </c>
    </row>
    <row r="424" spans="1:18" x14ac:dyDescent="0.25">
      <c r="A424" t="s">
        <v>489</v>
      </c>
      <c r="B424" s="1">
        <v>42790</v>
      </c>
      <c r="C424">
        <v>2016</v>
      </c>
      <c r="D424" t="s">
        <v>31</v>
      </c>
      <c r="E424" t="str">
        <f t="shared" si="12"/>
        <v>West</v>
      </c>
      <c r="F424" t="s">
        <v>32</v>
      </c>
      <c r="G424" t="s">
        <v>38</v>
      </c>
      <c r="H424" t="s">
        <v>20</v>
      </c>
      <c r="I424">
        <v>46.67</v>
      </c>
      <c r="J424">
        <v>164.97</v>
      </c>
      <c r="K424">
        <v>3534.77</v>
      </c>
      <c r="L424" t="str">
        <f t="shared" si="13"/>
        <v>Medium</v>
      </c>
      <c r="M424" t="s">
        <v>21</v>
      </c>
      <c r="N424" t="s">
        <v>22</v>
      </c>
      <c r="O424">
        <v>222.49</v>
      </c>
      <c r="P424">
        <v>1103.68</v>
      </c>
      <c r="Q424" t="s">
        <v>52</v>
      </c>
      <c r="R424">
        <v>32.450000000000003</v>
      </c>
    </row>
    <row r="425" spans="1:18" x14ac:dyDescent="0.25">
      <c r="A425" t="s">
        <v>490</v>
      </c>
      <c r="B425" s="1">
        <v>40846</v>
      </c>
      <c r="C425">
        <v>2011</v>
      </c>
      <c r="D425" t="s">
        <v>17</v>
      </c>
      <c r="E425" t="str">
        <f t="shared" si="12"/>
        <v>North</v>
      </c>
      <c r="F425" t="s">
        <v>54</v>
      </c>
      <c r="G425" t="s">
        <v>33</v>
      </c>
      <c r="H425" t="s">
        <v>27</v>
      </c>
      <c r="I425">
        <v>93.85</v>
      </c>
      <c r="J425">
        <v>485.83</v>
      </c>
      <c r="K425">
        <v>5176.68</v>
      </c>
      <c r="L425" t="str">
        <f t="shared" si="13"/>
        <v>High</v>
      </c>
      <c r="M425" t="s">
        <v>40</v>
      </c>
      <c r="N425" t="s">
        <v>41</v>
      </c>
      <c r="O425">
        <v>148.27000000000001</v>
      </c>
      <c r="P425">
        <v>523.46</v>
      </c>
      <c r="Q425" t="s">
        <v>23</v>
      </c>
      <c r="R425">
        <v>22.68</v>
      </c>
    </row>
    <row r="426" spans="1:18" x14ac:dyDescent="0.25">
      <c r="A426" t="s">
        <v>491</v>
      </c>
      <c r="B426" s="1">
        <v>42036</v>
      </c>
      <c r="C426">
        <v>2014</v>
      </c>
      <c r="D426" t="s">
        <v>36</v>
      </c>
      <c r="E426" t="str">
        <f t="shared" si="12"/>
        <v>South</v>
      </c>
      <c r="F426" t="s">
        <v>37</v>
      </c>
      <c r="G426" t="s">
        <v>38</v>
      </c>
      <c r="H426" t="s">
        <v>39</v>
      </c>
      <c r="I426">
        <v>65.209999999999994</v>
      </c>
      <c r="J426">
        <v>343.58</v>
      </c>
      <c r="K426">
        <v>5268.82</v>
      </c>
      <c r="L426" t="str">
        <f t="shared" si="13"/>
        <v>High</v>
      </c>
      <c r="M426" t="s">
        <v>40</v>
      </c>
      <c r="N426" t="s">
        <v>22</v>
      </c>
      <c r="O426">
        <v>229.59</v>
      </c>
      <c r="P426">
        <v>323.54000000000002</v>
      </c>
      <c r="Q426" t="s">
        <v>23</v>
      </c>
      <c r="R426">
        <v>30.59</v>
      </c>
    </row>
    <row r="427" spans="1:18" x14ac:dyDescent="0.25">
      <c r="A427" t="s">
        <v>492</v>
      </c>
      <c r="B427" s="1">
        <v>42503</v>
      </c>
      <c r="C427">
        <v>2016</v>
      </c>
      <c r="D427" t="s">
        <v>59</v>
      </c>
      <c r="E427" t="str">
        <f t="shared" si="12"/>
        <v>East</v>
      </c>
      <c r="F427" t="s">
        <v>93</v>
      </c>
      <c r="G427" t="s">
        <v>19</v>
      </c>
      <c r="H427" t="s">
        <v>27</v>
      </c>
      <c r="I427">
        <v>61.6</v>
      </c>
      <c r="J427">
        <v>120.7</v>
      </c>
      <c r="K427">
        <v>1959.4</v>
      </c>
      <c r="L427" t="str">
        <f t="shared" si="13"/>
        <v>Low</v>
      </c>
      <c r="M427" t="s">
        <v>28</v>
      </c>
      <c r="N427" t="s">
        <v>41</v>
      </c>
      <c r="O427">
        <v>60.98</v>
      </c>
      <c r="P427">
        <v>370.88</v>
      </c>
      <c r="Q427" t="s">
        <v>70</v>
      </c>
      <c r="R427">
        <v>28.48</v>
      </c>
    </row>
    <row r="428" spans="1:18" x14ac:dyDescent="0.25">
      <c r="A428" t="s">
        <v>493</v>
      </c>
      <c r="B428" s="1">
        <v>41000</v>
      </c>
      <c r="C428">
        <v>2012</v>
      </c>
      <c r="D428" t="s">
        <v>103</v>
      </c>
      <c r="E428" t="str">
        <f t="shared" si="12"/>
        <v>North</v>
      </c>
      <c r="F428" t="s">
        <v>104</v>
      </c>
      <c r="G428" t="s">
        <v>19</v>
      </c>
      <c r="H428" t="s">
        <v>64</v>
      </c>
      <c r="I428">
        <v>42.54</v>
      </c>
      <c r="J428">
        <v>121.54</v>
      </c>
      <c r="K428">
        <v>2857.11</v>
      </c>
      <c r="L428" t="str">
        <f t="shared" si="13"/>
        <v>Low</v>
      </c>
      <c r="M428" t="s">
        <v>28</v>
      </c>
      <c r="N428" t="s">
        <v>47</v>
      </c>
      <c r="O428">
        <v>122.2</v>
      </c>
      <c r="P428">
        <v>380.7</v>
      </c>
      <c r="Q428" t="s">
        <v>42</v>
      </c>
      <c r="R428">
        <v>34.409999999999997</v>
      </c>
    </row>
    <row r="429" spans="1:18" x14ac:dyDescent="0.25">
      <c r="A429" t="s">
        <v>494</v>
      </c>
      <c r="B429" s="1">
        <v>40604</v>
      </c>
      <c r="C429">
        <v>2010</v>
      </c>
      <c r="D429" t="s">
        <v>44</v>
      </c>
      <c r="E429" t="str">
        <f t="shared" si="12"/>
        <v>East</v>
      </c>
      <c r="F429" t="s">
        <v>99</v>
      </c>
      <c r="G429" t="s">
        <v>38</v>
      </c>
      <c r="H429" t="s">
        <v>46</v>
      </c>
      <c r="I429">
        <v>85.69</v>
      </c>
      <c r="J429">
        <v>365.13</v>
      </c>
      <c r="K429">
        <v>4261.01</v>
      </c>
      <c r="L429" t="str">
        <f t="shared" si="13"/>
        <v>Medium</v>
      </c>
      <c r="M429" t="s">
        <v>21</v>
      </c>
      <c r="N429" t="s">
        <v>29</v>
      </c>
      <c r="O429">
        <v>202</v>
      </c>
      <c r="P429">
        <v>693.47</v>
      </c>
      <c r="Q429" t="s">
        <v>42</v>
      </c>
      <c r="R429">
        <v>28.83</v>
      </c>
    </row>
    <row r="430" spans="1:18" x14ac:dyDescent="0.25">
      <c r="A430" t="s">
        <v>495</v>
      </c>
      <c r="B430" s="1">
        <v>40643</v>
      </c>
      <c r="C430">
        <v>2011</v>
      </c>
      <c r="D430" t="s">
        <v>36</v>
      </c>
      <c r="E430" t="str">
        <f t="shared" si="12"/>
        <v>South</v>
      </c>
      <c r="F430" t="s">
        <v>51</v>
      </c>
      <c r="G430" t="s">
        <v>19</v>
      </c>
      <c r="H430" t="s">
        <v>27</v>
      </c>
      <c r="I430">
        <v>1.65</v>
      </c>
      <c r="J430">
        <v>10.38</v>
      </c>
      <c r="K430">
        <v>6293.01</v>
      </c>
      <c r="L430" t="str">
        <f t="shared" si="13"/>
        <v>High</v>
      </c>
      <c r="M430" t="s">
        <v>34</v>
      </c>
      <c r="N430" t="s">
        <v>22</v>
      </c>
      <c r="O430">
        <v>204.94</v>
      </c>
      <c r="P430">
        <v>757.55</v>
      </c>
      <c r="Q430" t="s">
        <v>42</v>
      </c>
      <c r="R430">
        <v>20.73</v>
      </c>
    </row>
    <row r="431" spans="1:18" x14ac:dyDescent="0.25">
      <c r="A431" t="s">
        <v>496</v>
      </c>
      <c r="B431" s="1">
        <v>40375</v>
      </c>
      <c r="C431">
        <v>2010</v>
      </c>
      <c r="D431" t="s">
        <v>17</v>
      </c>
      <c r="E431" t="str">
        <f t="shared" si="12"/>
        <v>North</v>
      </c>
      <c r="F431" t="s">
        <v>72</v>
      </c>
      <c r="G431" t="s">
        <v>33</v>
      </c>
      <c r="H431" t="s">
        <v>64</v>
      </c>
      <c r="I431">
        <v>67.03</v>
      </c>
      <c r="J431">
        <v>404.06</v>
      </c>
      <c r="K431">
        <v>6028.09</v>
      </c>
      <c r="L431" t="str">
        <f t="shared" si="13"/>
        <v>High</v>
      </c>
      <c r="M431" t="s">
        <v>34</v>
      </c>
      <c r="N431" t="s">
        <v>41</v>
      </c>
      <c r="O431">
        <v>132.78</v>
      </c>
      <c r="P431">
        <v>287.7</v>
      </c>
      <c r="Q431" t="s">
        <v>23</v>
      </c>
      <c r="R431">
        <v>26.25</v>
      </c>
    </row>
    <row r="432" spans="1:18" x14ac:dyDescent="0.25">
      <c r="A432" t="s">
        <v>497</v>
      </c>
      <c r="B432" s="1">
        <v>43561</v>
      </c>
      <c r="C432">
        <v>2019</v>
      </c>
      <c r="D432" t="s">
        <v>17</v>
      </c>
      <c r="E432" t="str">
        <f t="shared" si="12"/>
        <v>North</v>
      </c>
      <c r="F432" t="s">
        <v>72</v>
      </c>
      <c r="G432" t="s">
        <v>19</v>
      </c>
      <c r="H432" t="s">
        <v>39</v>
      </c>
      <c r="I432">
        <v>70.28</v>
      </c>
      <c r="J432">
        <v>311.60000000000002</v>
      </c>
      <c r="K432">
        <v>4433.7</v>
      </c>
      <c r="L432" t="str">
        <f t="shared" si="13"/>
        <v>Medium</v>
      </c>
      <c r="M432" t="s">
        <v>40</v>
      </c>
      <c r="N432" t="s">
        <v>49</v>
      </c>
      <c r="O432">
        <v>291.57</v>
      </c>
      <c r="P432">
        <v>949.33</v>
      </c>
      <c r="Q432" t="s">
        <v>70</v>
      </c>
      <c r="R432">
        <v>33.97</v>
      </c>
    </row>
    <row r="433" spans="1:18" x14ac:dyDescent="0.25">
      <c r="A433" t="s">
        <v>498</v>
      </c>
      <c r="B433" s="1">
        <v>42627</v>
      </c>
      <c r="C433">
        <v>2016</v>
      </c>
      <c r="D433" t="s">
        <v>31</v>
      </c>
      <c r="E433" t="str">
        <f t="shared" si="12"/>
        <v>West</v>
      </c>
      <c r="F433" t="s">
        <v>32</v>
      </c>
      <c r="G433" t="s">
        <v>33</v>
      </c>
      <c r="H433" t="s">
        <v>46</v>
      </c>
      <c r="I433">
        <v>84.49</v>
      </c>
      <c r="J433">
        <v>117.4</v>
      </c>
      <c r="K433">
        <v>1389.56</v>
      </c>
      <c r="L433" t="str">
        <f t="shared" si="13"/>
        <v>Low</v>
      </c>
      <c r="M433" t="s">
        <v>28</v>
      </c>
      <c r="N433" t="s">
        <v>47</v>
      </c>
      <c r="O433">
        <v>83.64</v>
      </c>
      <c r="P433">
        <v>894.62</v>
      </c>
      <c r="Q433" t="s">
        <v>70</v>
      </c>
      <c r="R433">
        <v>24.94</v>
      </c>
    </row>
    <row r="434" spans="1:18" x14ac:dyDescent="0.25">
      <c r="A434" t="s">
        <v>499</v>
      </c>
      <c r="B434" s="1">
        <v>41419</v>
      </c>
      <c r="C434">
        <v>2013</v>
      </c>
      <c r="D434" t="s">
        <v>103</v>
      </c>
      <c r="E434" t="str">
        <f t="shared" si="12"/>
        <v>North</v>
      </c>
      <c r="F434" t="s">
        <v>228</v>
      </c>
      <c r="G434" t="s">
        <v>19</v>
      </c>
      <c r="H434" t="s">
        <v>64</v>
      </c>
      <c r="I434">
        <v>11.82</v>
      </c>
      <c r="J434">
        <v>63.57</v>
      </c>
      <c r="K434">
        <v>5378.37</v>
      </c>
      <c r="L434" t="str">
        <f t="shared" si="13"/>
        <v>High</v>
      </c>
      <c r="M434" t="s">
        <v>21</v>
      </c>
      <c r="N434" t="s">
        <v>49</v>
      </c>
      <c r="O434">
        <v>170.92</v>
      </c>
      <c r="P434">
        <v>888.65</v>
      </c>
      <c r="Q434" t="s">
        <v>70</v>
      </c>
      <c r="R434">
        <v>26.41</v>
      </c>
    </row>
    <row r="435" spans="1:18" x14ac:dyDescent="0.25">
      <c r="A435" t="s">
        <v>500</v>
      </c>
      <c r="B435" s="1">
        <v>43612</v>
      </c>
      <c r="C435">
        <v>2019</v>
      </c>
      <c r="D435" t="s">
        <v>31</v>
      </c>
      <c r="E435" t="str">
        <f t="shared" si="12"/>
        <v>West</v>
      </c>
      <c r="F435" t="s">
        <v>117</v>
      </c>
      <c r="G435" t="s">
        <v>19</v>
      </c>
      <c r="H435" t="s">
        <v>20</v>
      </c>
      <c r="I435">
        <v>92.78</v>
      </c>
      <c r="J435">
        <v>434.74</v>
      </c>
      <c r="K435">
        <v>4685.74</v>
      </c>
      <c r="L435" t="str">
        <f t="shared" si="13"/>
        <v>Medium</v>
      </c>
      <c r="M435" t="s">
        <v>28</v>
      </c>
      <c r="N435" t="s">
        <v>47</v>
      </c>
      <c r="O435">
        <v>179.93</v>
      </c>
      <c r="P435">
        <v>831.86</v>
      </c>
      <c r="Q435" t="s">
        <v>52</v>
      </c>
      <c r="R435">
        <v>32.119999999999997</v>
      </c>
    </row>
    <row r="436" spans="1:18" x14ac:dyDescent="0.25">
      <c r="A436" t="s">
        <v>501</v>
      </c>
      <c r="B436" s="1">
        <v>41896</v>
      </c>
      <c r="C436">
        <v>2014</v>
      </c>
      <c r="D436" t="s">
        <v>103</v>
      </c>
      <c r="E436" t="str">
        <f t="shared" si="12"/>
        <v>North</v>
      </c>
      <c r="F436" t="s">
        <v>228</v>
      </c>
      <c r="G436" t="s">
        <v>33</v>
      </c>
      <c r="H436" t="s">
        <v>64</v>
      </c>
      <c r="I436">
        <v>12.7</v>
      </c>
      <c r="J436">
        <v>48.12</v>
      </c>
      <c r="K436">
        <v>3789.31</v>
      </c>
      <c r="L436" t="str">
        <f t="shared" si="13"/>
        <v>Medium</v>
      </c>
      <c r="M436" t="s">
        <v>21</v>
      </c>
      <c r="N436" t="s">
        <v>22</v>
      </c>
      <c r="O436">
        <v>234.37</v>
      </c>
      <c r="P436">
        <v>407.33</v>
      </c>
      <c r="Q436" t="s">
        <v>61</v>
      </c>
      <c r="R436">
        <v>34.979999999999997</v>
      </c>
    </row>
    <row r="437" spans="1:18" x14ac:dyDescent="0.25">
      <c r="A437" t="s">
        <v>502</v>
      </c>
      <c r="B437" s="1">
        <v>43211</v>
      </c>
      <c r="C437">
        <v>2018</v>
      </c>
      <c r="D437" t="s">
        <v>31</v>
      </c>
      <c r="E437" t="str">
        <f t="shared" si="12"/>
        <v>West</v>
      </c>
      <c r="F437" t="s">
        <v>32</v>
      </c>
      <c r="G437" t="s">
        <v>19</v>
      </c>
      <c r="H437" t="s">
        <v>56</v>
      </c>
      <c r="I437">
        <v>2.12</v>
      </c>
      <c r="J437">
        <v>4.68</v>
      </c>
      <c r="K437">
        <v>2207.12</v>
      </c>
      <c r="L437" t="str">
        <f t="shared" si="13"/>
        <v>Low</v>
      </c>
      <c r="M437" t="s">
        <v>34</v>
      </c>
      <c r="N437" t="s">
        <v>22</v>
      </c>
      <c r="O437">
        <v>113.6</v>
      </c>
      <c r="P437">
        <v>267.83999999999997</v>
      </c>
      <c r="Q437" t="s">
        <v>70</v>
      </c>
      <c r="R437">
        <v>27.6</v>
      </c>
    </row>
    <row r="438" spans="1:18" x14ac:dyDescent="0.25">
      <c r="A438" t="s">
        <v>503</v>
      </c>
      <c r="B438" s="1">
        <v>42431</v>
      </c>
      <c r="C438">
        <v>2015</v>
      </c>
      <c r="D438" t="s">
        <v>25</v>
      </c>
      <c r="E438" t="str">
        <f t="shared" si="12"/>
        <v>North</v>
      </c>
      <c r="F438" t="s">
        <v>69</v>
      </c>
      <c r="G438" t="s">
        <v>38</v>
      </c>
      <c r="H438" t="s">
        <v>46</v>
      </c>
      <c r="I438">
        <v>72.72</v>
      </c>
      <c r="J438">
        <v>341.49</v>
      </c>
      <c r="K438">
        <v>4695.96</v>
      </c>
      <c r="L438" t="str">
        <f t="shared" si="13"/>
        <v>Medium</v>
      </c>
      <c r="M438" t="s">
        <v>21</v>
      </c>
      <c r="N438" t="s">
        <v>29</v>
      </c>
      <c r="O438">
        <v>258.01</v>
      </c>
      <c r="P438">
        <v>394.02</v>
      </c>
      <c r="Q438" t="s">
        <v>70</v>
      </c>
      <c r="R438">
        <v>33.83</v>
      </c>
    </row>
    <row r="439" spans="1:18" x14ac:dyDescent="0.25">
      <c r="A439" t="s">
        <v>504</v>
      </c>
      <c r="B439" s="1">
        <v>44059</v>
      </c>
      <c r="C439">
        <v>2020</v>
      </c>
      <c r="D439" t="s">
        <v>44</v>
      </c>
      <c r="E439" t="str">
        <f t="shared" si="12"/>
        <v>East</v>
      </c>
      <c r="F439" t="s">
        <v>45</v>
      </c>
      <c r="G439" t="s">
        <v>33</v>
      </c>
      <c r="H439" t="s">
        <v>46</v>
      </c>
      <c r="I439">
        <v>16.38</v>
      </c>
      <c r="J439">
        <v>61.65</v>
      </c>
      <c r="K439">
        <v>3763.71</v>
      </c>
      <c r="L439" t="str">
        <f t="shared" si="13"/>
        <v>Medium</v>
      </c>
      <c r="M439" t="s">
        <v>34</v>
      </c>
      <c r="N439" t="s">
        <v>47</v>
      </c>
      <c r="O439">
        <v>165.62</v>
      </c>
      <c r="P439">
        <v>1014.17</v>
      </c>
      <c r="Q439" t="s">
        <v>23</v>
      </c>
      <c r="R439">
        <v>32.53</v>
      </c>
    </row>
    <row r="440" spans="1:18" x14ac:dyDescent="0.25">
      <c r="A440" t="s">
        <v>505</v>
      </c>
      <c r="B440" s="1">
        <v>42104</v>
      </c>
      <c r="C440">
        <v>2015</v>
      </c>
      <c r="D440" t="s">
        <v>17</v>
      </c>
      <c r="E440" t="str">
        <f t="shared" si="12"/>
        <v>North</v>
      </c>
      <c r="F440" t="s">
        <v>54</v>
      </c>
      <c r="G440" t="s">
        <v>19</v>
      </c>
      <c r="H440" t="s">
        <v>27</v>
      </c>
      <c r="I440">
        <v>2.85</v>
      </c>
      <c r="J440">
        <v>12.72</v>
      </c>
      <c r="K440">
        <v>4464.3900000000003</v>
      </c>
      <c r="L440" t="str">
        <f t="shared" si="13"/>
        <v>Medium</v>
      </c>
      <c r="M440" t="s">
        <v>34</v>
      </c>
      <c r="N440" t="s">
        <v>49</v>
      </c>
      <c r="O440">
        <v>249.88</v>
      </c>
      <c r="P440">
        <v>1088.03</v>
      </c>
      <c r="Q440" t="s">
        <v>70</v>
      </c>
      <c r="R440">
        <v>20.99</v>
      </c>
    </row>
    <row r="441" spans="1:18" x14ac:dyDescent="0.25">
      <c r="A441" t="s">
        <v>506</v>
      </c>
      <c r="B441" s="1">
        <v>42389</v>
      </c>
      <c r="C441">
        <v>2015</v>
      </c>
      <c r="D441" t="s">
        <v>44</v>
      </c>
      <c r="E441" t="str">
        <f t="shared" si="12"/>
        <v>East</v>
      </c>
      <c r="F441" t="s">
        <v>45</v>
      </c>
      <c r="G441" t="s">
        <v>38</v>
      </c>
      <c r="H441" t="s">
        <v>39</v>
      </c>
      <c r="I441">
        <v>53.89</v>
      </c>
      <c r="J441">
        <v>107.55</v>
      </c>
      <c r="K441">
        <v>1995.82</v>
      </c>
      <c r="L441" t="str">
        <f t="shared" si="13"/>
        <v>Low</v>
      </c>
      <c r="M441" t="s">
        <v>28</v>
      </c>
      <c r="N441" t="s">
        <v>22</v>
      </c>
      <c r="O441">
        <v>96.84</v>
      </c>
      <c r="P441">
        <v>316.83999999999997</v>
      </c>
      <c r="Q441" t="s">
        <v>70</v>
      </c>
      <c r="R441">
        <v>30.58</v>
      </c>
    </row>
    <row r="442" spans="1:18" x14ac:dyDescent="0.25">
      <c r="A442" t="s">
        <v>507</v>
      </c>
      <c r="B442" s="1">
        <v>40857</v>
      </c>
      <c r="C442">
        <v>2011</v>
      </c>
      <c r="D442" t="s">
        <v>31</v>
      </c>
      <c r="E442" t="str">
        <f t="shared" si="12"/>
        <v>West</v>
      </c>
      <c r="F442" t="s">
        <v>32</v>
      </c>
      <c r="G442" t="s">
        <v>38</v>
      </c>
      <c r="H442" t="s">
        <v>56</v>
      </c>
      <c r="I442">
        <v>37.79</v>
      </c>
      <c r="J442">
        <v>225.86</v>
      </c>
      <c r="K442">
        <v>5976.74</v>
      </c>
      <c r="L442" t="str">
        <f t="shared" si="13"/>
        <v>High</v>
      </c>
      <c r="M442" t="s">
        <v>34</v>
      </c>
      <c r="N442" t="s">
        <v>41</v>
      </c>
      <c r="O442">
        <v>104.03</v>
      </c>
      <c r="P442">
        <v>502.32</v>
      </c>
      <c r="Q442" t="s">
        <v>23</v>
      </c>
      <c r="R442">
        <v>25.61</v>
      </c>
    </row>
    <row r="443" spans="1:18" x14ac:dyDescent="0.25">
      <c r="A443" t="s">
        <v>508</v>
      </c>
      <c r="B443" s="1">
        <v>43335</v>
      </c>
      <c r="C443">
        <v>2018</v>
      </c>
      <c r="D443" t="s">
        <v>25</v>
      </c>
      <c r="E443" t="str">
        <f t="shared" si="12"/>
        <v>North</v>
      </c>
      <c r="F443" t="s">
        <v>87</v>
      </c>
      <c r="G443" t="s">
        <v>33</v>
      </c>
      <c r="H443" t="s">
        <v>46</v>
      </c>
      <c r="I443">
        <v>90.59</v>
      </c>
      <c r="J443">
        <v>174.34</v>
      </c>
      <c r="K443">
        <v>1924.47</v>
      </c>
      <c r="L443" t="str">
        <f t="shared" si="13"/>
        <v>Low</v>
      </c>
      <c r="M443" t="s">
        <v>34</v>
      </c>
      <c r="N443" t="s">
        <v>41</v>
      </c>
      <c r="O443">
        <v>280.91000000000003</v>
      </c>
      <c r="P443">
        <v>932.44</v>
      </c>
      <c r="Q443" t="s">
        <v>61</v>
      </c>
      <c r="R443">
        <v>24.66</v>
      </c>
    </row>
    <row r="444" spans="1:18" x14ac:dyDescent="0.25">
      <c r="A444" t="s">
        <v>509</v>
      </c>
      <c r="B444" s="1">
        <v>43193</v>
      </c>
      <c r="C444">
        <v>2018</v>
      </c>
      <c r="D444" t="s">
        <v>44</v>
      </c>
      <c r="E444" t="str">
        <f t="shared" si="12"/>
        <v>East</v>
      </c>
      <c r="F444" t="s">
        <v>45</v>
      </c>
      <c r="G444" t="s">
        <v>19</v>
      </c>
      <c r="H444" t="s">
        <v>56</v>
      </c>
      <c r="I444">
        <v>21.31</v>
      </c>
      <c r="J444">
        <v>25.98</v>
      </c>
      <c r="K444">
        <v>1219.32</v>
      </c>
      <c r="L444" t="str">
        <f t="shared" si="13"/>
        <v>Low</v>
      </c>
      <c r="M444" t="s">
        <v>28</v>
      </c>
      <c r="N444" t="s">
        <v>47</v>
      </c>
      <c r="O444">
        <v>228.42</v>
      </c>
      <c r="P444">
        <v>722.34</v>
      </c>
      <c r="Q444" t="s">
        <v>23</v>
      </c>
      <c r="R444">
        <v>24.66</v>
      </c>
    </row>
    <row r="445" spans="1:18" x14ac:dyDescent="0.25">
      <c r="A445" t="s">
        <v>510</v>
      </c>
      <c r="B445" s="1">
        <v>42358</v>
      </c>
      <c r="C445">
        <v>2015</v>
      </c>
      <c r="D445" t="s">
        <v>44</v>
      </c>
      <c r="E445" t="str">
        <f t="shared" si="12"/>
        <v>East</v>
      </c>
      <c r="F445" t="s">
        <v>45</v>
      </c>
      <c r="G445" t="s">
        <v>38</v>
      </c>
      <c r="H445" t="s">
        <v>64</v>
      </c>
      <c r="I445">
        <v>11.21</v>
      </c>
      <c r="J445">
        <v>62.74</v>
      </c>
      <c r="K445">
        <v>5597.08</v>
      </c>
      <c r="L445" t="str">
        <f t="shared" si="13"/>
        <v>High</v>
      </c>
      <c r="M445" t="s">
        <v>34</v>
      </c>
      <c r="N445" t="s">
        <v>49</v>
      </c>
      <c r="O445">
        <v>55.62</v>
      </c>
      <c r="P445">
        <v>958.49</v>
      </c>
      <c r="Q445" t="s">
        <v>42</v>
      </c>
      <c r="R445">
        <v>24.81</v>
      </c>
    </row>
    <row r="446" spans="1:18" x14ac:dyDescent="0.25">
      <c r="A446" t="s">
        <v>511</v>
      </c>
      <c r="B446" s="1">
        <v>42361</v>
      </c>
      <c r="C446">
        <v>2015</v>
      </c>
      <c r="D446" t="s">
        <v>31</v>
      </c>
      <c r="E446" t="str">
        <f t="shared" si="12"/>
        <v>West</v>
      </c>
      <c r="F446" t="s">
        <v>117</v>
      </c>
      <c r="G446" t="s">
        <v>38</v>
      </c>
      <c r="H446" t="s">
        <v>39</v>
      </c>
      <c r="I446">
        <v>12.65</v>
      </c>
      <c r="J446">
        <v>23.98</v>
      </c>
      <c r="K446">
        <v>1895.92</v>
      </c>
      <c r="L446" t="str">
        <f t="shared" si="13"/>
        <v>Low</v>
      </c>
      <c r="M446" t="s">
        <v>34</v>
      </c>
      <c r="N446" t="s">
        <v>47</v>
      </c>
      <c r="O446">
        <v>78.62</v>
      </c>
      <c r="P446">
        <v>1158.3</v>
      </c>
      <c r="Q446" t="s">
        <v>61</v>
      </c>
      <c r="R446">
        <v>27.71</v>
      </c>
    </row>
    <row r="447" spans="1:18" x14ac:dyDescent="0.25">
      <c r="A447" t="s">
        <v>512</v>
      </c>
      <c r="B447" s="1">
        <v>42321</v>
      </c>
      <c r="C447">
        <v>2015</v>
      </c>
      <c r="D447" t="s">
        <v>31</v>
      </c>
      <c r="E447" t="str">
        <f t="shared" si="12"/>
        <v>West</v>
      </c>
      <c r="F447" t="s">
        <v>117</v>
      </c>
      <c r="G447" t="s">
        <v>38</v>
      </c>
      <c r="H447" t="s">
        <v>56</v>
      </c>
      <c r="I447">
        <v>94.38</v>
      </c>
      <c r="J447">
        <v>549.66999999999996</v>
      </c>
      <c r="K447">
        <v>5824.02</v>
      </c>
      <c r="L447" t="str">
        <f t="shared" si="13"/>
        <v>High</v>
      </c>
      <c r="M447" t="s">
        <v>40</v>
      </c>
      <c r="N447" t="s">
        <v>41</v>
      </c>
      <c r="O447">
        <v>92.82</v>
      </c>
      <c r="P447">
        <v>511.38</v>
      </c>
      <c r="Q447" t="s">
        <v>70</v>
      </c>
      <c r="R447">
        <v>28.11</v>
      </c>
    </row>
    <row r="448" spans="1:18" x14ac:dyDescent="0.25">
      <c r="A448" t="s">
        <v>513</v>
      </c>
      <c r="B448" s="1">
        <v>44097</v>
      </c>
      <c r="C448">
        <v>2020</v>
      </c>
      <c r="D448" t="s">
        <v>25</v>
      </c>
      <c r="E448" t="str">
        <f t="shared" si="12"/>
        <v>North</v>
      </c>
      <c r="F448" t="s">
        <v>87</v>
      </c>
      <c r="G448" t="s">
        <v>33</v>
      </c>
      <c r="H448" t="s">
        <v>64</v>
      </c>
      <c r="I448">
        <v>38.979999999999997</v>
      </c>
      <c r="J448">
        <v>59.12</v>
      </c>
      <c r="K448">
        <v>1516.72</v>
      </c>
      <c r="L448" t="str">
        <f t="shared" si="13"/>
        <v>Low</v>
      </c>
      <c r="M448" t="s">
        <v>28</v>
      </c>
      <c r="N448" t="s">
        <v>47</v>
      </c>
      <c r="O448">
        <v>94.75</v>
      </c>
      <c r="P448">
        <v>796.12</v>
      </c>
      <c r="Q448" t="s">
        <v>61</v>
      </c>
      <c r="R448">
        <v>29.44</v>
      </c>
    </row>
    <row r="449" spans="1:18" x14ac:dyDescent="0.25">
      <c r="A449" t="s">
        <v>514</v>
      </c>
      <c r="B449" s="1">
        <v>42179</v>
      </c>
      <c r="C449">
        <v>2015</v>
      </c>
      <c r="D449" t="s">
        <v>31</v>
      </c>
      <c r="E449" t="str">
        <f t="shared" si="12"/>
        <v>West</v>
      </c>
      <c r="F449" t="s">
        <v>32</v>
      </c>
      <c r="G449" t="s">
        <v>33</v>
      </c>
      <c r="H449" t="s">
        <v>39</v>
      </c>
      <c r="I449">
        <v>76.08</v>
      </c>
      <c r="J449">
        <v>445.51</v>
      </c>
      <c r="K449">
        <v>5855.8</v>
      </c>
      <c r="L449" t="str">
        <f t="shared" si="13"/>
        <v>High</v>
      </c>
      <c r="M449" t="s">
        <v>21</v>
      </c>
      <c r="N449" t="s">
        <v>29</v>
      </c>
      <c r="O449">
        <v>293.42</v>
      </c>
      <c r="P449">
        <v>955.74</v>
      </c>
      <c r="Q449" t="s">
        <v>52</v>
      </c>
      <c r="R449">
        <v>28.52</v>
      </c>
    </row>
    <row r="450" spans="1:18" x14ac:dyDescent="0.25">
      <c r="A450" t="s">
        <v>515</v>
      </c>
      <c r="B450" s="1">
        <v>41753</v>
      </c>
      <c r="C450">
        <v>2014</v>
      </c>
      <c r="D450" t="s">
        <v>25</v>
      </c>
      <c r="E450" t="str">
        <f t="shared" si="12"/>
        <v>North</v>
      </c>
      <c r="F450" t="s">
        <v>87</v>
      </c>
      <c r="G450" t="s">
        <v>19</v>
      </c>
      <c r="H450" t="s">
        <v>39</v>
      </c>
      <c r="I450">
        <v>71.31</v>
      </c>
      <c r="J450">
        <v>270.43</v>
      </c>
      <c r="K450">
        <v>3792.38</v>
      </c>
      <c r="L450" t="str">
        <f t="shared" si="13"/>
        <v>Medium</v>
      </c>
      <c r="M450" t="s">
        <v>40</v>
      </c>
      <c r="N450" t="s">
        <v>29</v>
      </c>
      <c r="O450">
        <v>286.86</v>
      </c>
      <c r="P450">
        <v>343.72</v>
      </c>
      <c r="Q450" t="s">
        <v>61</v>
      </c>
      <c r="R450">
        <v>23.87</v>
      </c>
    </row>
    <row r="451" spans="1:18" x14ac:dyDescent="0.25">
      <c r="A451" t="s">
        <v>516</v>
      </c>
      <c r="B451" s="1">
        <v>44225</v>
      </c>
      <c r="C451">
        <v>2020</v>
      </c>
      <c r="D451" t="s">
        <v>103</v>
      </c>
      <c r="E451" t="str">
        <f t="shared" ref="E451:E501" si="14">INDEX($U$2:$U$8,MATCH(D451,$T$2:$T$8,0))</f>
        <v>North</v>
      </c>
      <c r="F451" t="s">
        <v>228</v>
      </c>
      <c r="G451" t="s">
        <v>38</v>
      </c>
      <c r="H451" t="s">
        <v>20</v>
      </c>
      <c r="I451">
        <v>45.88</v>
      </c>
      <c r="J451">
        <v>54.21</v>
      </c>
      <c r="K451">
        <v>1181.58</v>
      </c>
      <c r="L451" t="str">
        <f t="shared" ref="L451:L501" si="15">IF(K451&gt;=5000,"High",IF(K451&gt;=3000,"Medium","Low"))</f>
        <v>Low</v>
      </c>
      <c r="M451" t="s">
        <v>28</v>
      </c>
      <c r="N451" t="s">
        <v>47</v>
      </c>
      <c r="O451">
        <v>78.22</v>
      </c>
      <c r="P451">
        <v>678.65</v>
      </c>
      <c r="Q451" t="s">
        <v>42</v>
      </c>
      <c r="R451">
        <v>24.23</v>
      </c>
    </row>
    <row r="452" spans="1:18" x14ac:dyDescent="0.25">
      <c r="A452" t="s">
        <v>517</v>
      </c>
      <c r="B452" s="1">
        <v>43354</v>
      </c>
      <c r="C452">
        <v>2018</v>
      </c>
      <c r="D452" t="s">
        <v>59</v>
      </c>
      <c r="E452" t="str">
        <f t="shared" si="14"/>
        <v>East</v>
      </c>
      <c r="F452" t="s">
        <v>60</v>
      </c>
      <c r="G452" t="s">
        <v>33</v>
      </c>
      <c r="H452" t="s">
        <v>46</v>
      </c>
      <c r="I452">
        <v>81.94</v>
      </c>
      <c r="J452">
        <v>473.66</v>
      </c>
      <c r="K452">
        <v>5780.55</v>
      </c>
      <c r="L452" t="str">
        <f t="shared" si="15"/>
        <v>High</v>
      </c>
      <c r="M452" t="s">
        <v>34</v>
      </c>
      <c r="N452" t="s">
        <v>47</v>
      </c>
      <c r="O452">
        <v>189.04</v>
      </c>
      <c r="P452">
        <v>270.92</v>
      </c>
      <c r="Q452" t="s">
        <v>70</v>
      </c>
      <c r="R452">
        <v>27.99</v>
      </c>
    </row>
    <row r="453" spans="1:18" x14ac:dyDescent="0.25">
      <c r="A453" t="s">
        <v>518</v>
      </c>
      <c r="B453" s="1">
        <v>43728</v>
      </c>
      <c r="C453">
        <v>2019</v>
      </c>
      <c r="D453" t="s">
        <v>36</v>
      </c>
      <c r="E453" t="str">
        <f t="shared" si="14"/>
        <v>South</v>
      </c>
      <c r="F453" t="s">
        <v>37</v>
      </c>
      <c r="G453" t="s">
        <v>33</v>
      </c>
      <c r="H453" t="s">
        <v>27</v>
      </c>
      <c r="I453">
        <v>16.739999999999998</v>
      </c>
      <c r="J453">
        <v>65.19</v>
      </c>
      <c r="K453">
        <v>3894.25</v>
      </c>
      <c r="L453" t="str">
        <f t="shared" si="15"/>
        <v>Medium</v>
      </c>
      <c r="M453" t="s">
        <v>21</v>
      </c>
      <c r="N453" t="s">
        <v>47</v>
      </c>
      <c r="O453">
        <v>135.18</v>
      </c>
      <c r="P453">
        <v>1013.92</v>
      </c>
      <c r="Q453" t="s">
        <v>61</v>
      </c>
      <c r="R453">
        <v>26.47</v>
      </c>
    </row>
    <row r="454" spans="1:18" x14ac:dyDescent="0.25">
      <c r="A454" t="s">
        <v>519</v>
      </c>
      <c r="B454" s="1">
        <v>43243</v>
      </c>
      <c r="C454">
        <v>2018</v>
      </c>
      <c r="D454" t="s">
        <v>44</v>
      </c>
      <c r="E454" t="str">
        <f t="shared" si="14"/>
        <v>East</v>
      </c>
      <c r="F454" t="s">
        <v>99</v>
      </c>
      <c r="G454" t="s">
        <v>19</v>
      </c>
      <c r="H454" t="s">
        <v>56</v>
      </c>
      <c r="I454">
        <v>18.14</v>
      </c>
      <c r="J454">
        <v>91.02</v>
      </c>
      <c r="K454">
        <v>5017.63</v>
      </c>
      <c r="L454" t="str">
        <f t="shared" si="15"/>
        <v>High</v>
      </c>
      <c r="M454" t="s">
        <v>28</v>
      </c>
      <c r="N454" t="s">
        <v>29</v>
      </c>
      <c r="O454">
        <v>78.58</v>
      </c>
      <c r="P454">
        <v>796.08</v>
      </c>
      <c r="Q454" t="s">
        <v>70</v>
      </c>
      <c r="R454">
        <v>28.33</v>
      </c>
    </row>
    <row r="455" spans="1:18" x14ac:dyDescent="0.25">
      <c r="A455" t="s">
        <v>520</v>
      </c>
      <c r="B455" s="1">
        <v>42557</v>
      </c>
      <c r="C455">
        <v>2016</v>
      </c>
      <c r="D455" t="s">
        <v>103</v>
      </c>
      <c r="E455" t="str">
        <f t="shared" si="14"/>
        <v>North</v>
      </c>
      <c r="F455" t="s">
        <v>107</v>
      </c>
      <c r="G455" t="s">
        <v>33</v>
      </c>
      <c r="H455" t="s">
        <v>27</v>
      </c>
      <c r="I455">
        <v>11.77</v>
      </c>
      <c r="J455">
        <v>69.260000000000005</v>
      </c>
      <c r="K455">
        <v>5884.4</v>
      </c>
      <c r="L455" t="str">
        <f t="shared" si="15"/>
        <v>High</v>
      </c>
      <c r="M455" t="s">
        <v>28</v>
      </c>
      <c r="N455" t="s">
        <v>47</v>
      </c>
      <c r="O455">
        <v>131.85</v>
      </c>
      <c r="P455">
        <v>844.99</v>
      </c>
      <c r="Q455" t="s">
        <v>23</v>
      </c>
      <c r="R455">
        <v>21.36</v>
      </c>
    </row>
    <row r="456" spans="1:18" x14ac:dyDescent="0.25">
      <c r="A456" t="s">
        <v>521</v>
      </c>
      <c r="B456" s="1">
        <v>44794</v>
      </c>
      <c r="C456">
        <v>2022</v>
      </c>
      <c r="D456" t="s">
        <v>44</v>
      </c>
      <c r="E456" t="str">
        <f t="shared" si="14"/>
        <v>East</v>
      </c>
      <c r="F456" t="s">
        <v>67</v>
      </c>
      <c r="G456" t="s">
        <v>33</v>
      </c>
      <c r="H456" t="s">
        <v>56</v>
      </c>
      <c r="I456">
        <v>66.430000000000007</v>
      </c>
      <c r="J456">
        <v>246.98</v>
      </c>
      <c r="K456">
        <v>3717.85</v>
      </c>
      <c r="L456" t="str">
        <f t="shared" si="15"/>
        <v>Medium</v>
      </c>
      <c r="M456" t="s">
        <v>34</v>
      </c>
      <c r="N456" t="s">
        <v>49</v>
      </c>
      <c r="O456">
        <v>147.5</v>
      </c>
      <c r="P456">
        <v>777.93</v>
      </c>
      <c r="Q456" t="s">
        <v>42</v>
      </c>
      <c r="R456">
        <v>23.08</v>
      </c>
    </row>
    <row r="457" spans="1:18" x14ac:dyDescent="0.25">
      <c r="A457" t="s">
        <v>522</v>
      </c>
      <c r="B457" s="1">
        <v>41976</v>
      </c>
      <c r="C457">
        <v>2014</v>
      </c>
      <c r="D457" t="s">
        <v>59</v>
      </c>
      <c r="E457" t="str">
        <f t="shared" si="14"/>
        <v>East</v>
      </c>
      <c r="F457" t="s">
        <v>93</v>
      </c>
      <c r="G457" t="s">
        <v>38</v>
      </c>
      <c r="H457" t="s">
        <v>39</v>
      </c>
      <c r="I457">
        <v>98.28</v>
      </c>
      <c r="J457">
        <v>301.29000000000002</v>
      </c>
      <c r="K457">
        <v>3065.59</v>
      </c>
      <c r="L457" t="str">
        <f t="shared" si="15"/>
        <v>Medium</v>
      </c>
      <c r="M457" t="s">
        <v>21</v>
      </c>
      <c r="N457" t="s">
        <v>49</v>
      </c>
      <c r="O457">
        <v>195.68</v>
      </c>
      <c r="P457">
        <v>811.49</v>
      </c>
      <c r="Q457" t="s">
        <v>61</v>
      </c>
      <c r="R457">
        <v>26.06</v>
      </c>
    </row>
    <row r="458" spans="1:18" x14ac:dyDescent="0.25">
      <c r="A458" t="s">
        <v>523</v>
      </c>
      <c r="B458" s="1">
        <v>43403</v>
      </c>
      <c r="C458">
        <v>2018</v>
      </c>
      <c r="D458" t="s">
        <v>25</v>
      </c>
      <c r="E458" t="str">
        <f t="shared" si="14"/>
        <v>North</v>
      </c>
      <c r="F458" t="s">
        <v>87</v>
      </c>
      <c r="G458" t="s">
        <v>33</v>
      </c>
      <c r="H458" t="s">
        <v>64</v>
      </c>
      <c r="I458">
        <v>70.63</v>
      </c>
      <c r="J458">
        <v>418.45</v>
      </c>
      <c r="K458">
        <v>5924.52</v>
      </c>
      <c r="L458" t="str">
        <f t="shared" si="15"/>
        <v>High</v>
      </c>
      <c r="M458" t="s">
        <v>34</v>
      </c>
      <c r="N458" t="s">
        <v>29</v>
      </c>
      <c r="O458">
        <v>77.42</v>
      </c>
      <c r="P458">
        <v>482.21</v>
      </c>
      <c r="Q458" t="s">
        <v>23</v>
      </c>
      <c r="R458">
        <v>23.53</v>
      </c>
    </row>
    <row r="459" spans="1:18" x14ac:dyDescent="0.25">
      <c r="A459" t="s">
        <v>524</v>
      </c>
      <c r="B459" s="1">
        <v>44593</v>
      </c>
      <c r="C459">
        <v>2021</v>
      </c>
      <c r="D459" t="s">
        <v>17</v>
      </c>
      <c r="E459" t="str">
        <f t="shared" si="14"/>
        <v>North</v>
      </c>
      <c r="F459" t="s">
        <v>72</v>
      </c>
      <c r="G459" t="s">
        <v>38</v>
      </c>
      <c r="H459" t="s">
        <v>46</v>
      </c>
      <c r="I459">
        <v>38.770000000000003</v>
      </c>
      <c r="J459">
        <v>165.58</v>
      </c>
      <c r="K459">
        <v>4270.71</v>
      </c>
      <c r="L459" t="str">
        <f t="shared" si="15"/>
        <v>Medium</v>
      </c>
      <c r="M459" t="s">
        <v>40</v>
      </c>
      <c r="N459" t="s">
        <v>29</v>
      </c>
      <c r="O459">
        <v>168.72</v>
      </c>
      <c r="P459">
        <v>388.23</v>
      </c>
      <c r="Q459" t="s">
        <v>52</v>
      </c>
      <c r="R459">
        <v>32.65</v>
      </c>
    </row>
    <row r="460" spans="1:18" x14ac:dyDescent="0.25">
      <c r="A460" t="s">
        <v>525</v>
      </c>
      <c r="B460" s="1">
        <v>44017</v>
      </c>
      <c r="C460">
        <v>2020</v>
      </c>
      <c r="D460" t="s">
        <v>103</v>
      </c>
      <c r="E460" t="str">
        <f t="shared" si="14"/>
        <v>North</v>
      </c>
      <c r="F460" t="s">
        <v>107</v>
      </c>
      <c r="G460" t="s">
        <v>33</v>
      </c>
      <c r="H460" t="s">
        <v>56</v>
      </c>
      <c r="I460">
        <v>2.15</v>
      </c>
      <c r="J460">
        <v>10.51</v>
      </c>
      <c r="K460">
        <v>4890.34</v>
      </c>
      <c r="L460" t="str">
        <f t="shared" si="15"/>
        <v>Medium</v>
      </c>
      <c r="M460" t="s">
        <v>40</v>
      </c>
      <c r="N460" t="s">
        <v>22</v>
      </c>
      <c r="O460">
        <v>230.33</v>
      </c>
      <c r="P460">
        <v>686.7</v>
      </c>
      <c r="Q460" t="s">
        <v>52</v>
      </c>
      <c r="R460">
        <v>34.619999999999997</v>
      </c>
    </row>
    <row r="461" spans="1:18" x14ac:dyDescent="0.25">
      <c r="A461" t="s">
        <v>526</v>
      </c>
      <c r="B461" s="1">
        <v>44981</v>
      </c>
      <c r="C461">
        <v>2022</v>
      </c>
      <c r="D461" t="s">
        <v>103</v>
      </c>
      <c r="E461" t="str">
        <f t="shared" si="14"/>
        <v>North</v>
      </c>
      <c r="F461" t="s">
        <v>228</v>
      </c>
      <c r="G461" t="s">
        <v>38</v>
      </c>
      <c r="H461" t="s">
        <v>46</v>
      </c>
      <c r="I461">
        <v>89.46</v>
      </c>
      <c r="J461">
        <v>462.72</v>
      </c>
      <c r="K461">
        <v>5172.34</v>
      </c>
      <c r="L461" t="str">
        <f t="shared" si="15"/>
        <v>High</v>
      </c>
      <c r="M461" t="s">
        <v>28</v>
      </c>
      <c r="N461" t="s">
        <v>29</v>
      </c>
      <c r="O461">
        <v>205.81</v>
      </c>
      <c r="P461">
        <v>654.39</v>
      </c>
      <c r="Q461" t="s">
        <v>52</v>
      </c>
      <c r="R461">
        <v>28.28</v>
      </c>
    </row>
    <row r="462" spans="1:18" x14ac:dyDescent="0.25">
      <c r="A462" t="s">
        <v>527</v>
      </c>
      <c r="B462" s="1">
        <v>41222</v>
      </c>
      <c r="C462">
        <v>2012</v>
      </c>
      <c r="D462" t="s">
        <v>31</v>
      </c>
      <c r="E462" t="str">
        <f t="shared" si="14"/>
        <v>West</v>
      </c>
      <c r="F462" t="s">
        <v>82</v>
      </c>
      <c r="G462" t="s">
        <v>38</v>
      </c>
      <c r="H462" t="s">
        <v>27</v>
      </c>
      <c r="I462">
        <v>1.74</v>
      </c>
      <c r="J462">
        <v>6.94</v>
      </c>
      <c r="K462">
        <v>3988.94</v>
      </c>
      <c r="L462" t="str">
        <f t="shared" si="15"/>
        <v>Medium</v>
      </c>
      <c r="M462" t="s">
        <v>40</v>
      </c>
      <c r="N462" t="s">
        <v>22</v>
      </c>
      <c r="O462">
        <v>228.03</v>
      </c>
      <c r="P462">
        <v>469.25</v>
      </c>
      <c r="Q462" t="s">
        <v>61</v>
      </c>
      <c r="R462">
        <v>28.65</v>
      </c>
    </row>
    <row r="463" spans="1:18" x14ac:dyDescent="0.25">
      <c r="A463" t="s">
        <v>528</v>
      </c>
      <c r="B463" s="1">
        <v>44521</v>
      </c>
      <c r="C463">
        <v>2021</v>
      </c>
      <c r="D463" t="s">
        <v>59</v>
      </c>
      <c r="E463" t="str">
        <f t="shared" si="14"/>
        <v>East</v>
      </c>
      <c r="F463" t="s">
        <v>63</v>
      </c>
      <c r="G463" t="s">
        <v>38</v>
      </c>
      <c r="H463" t="s">
        <v>64</v>
      </c>
      <c r="I463">
        <v>58.45</v>
      </c>
      <c r="J463">
        <v>395.73</v>
      </c>
      <c r="K463">
        <v>6770.43</v>
      </c>
      <c r="L463" t="str">
        <f t="shared" si="15"/>
        <v>High</v>
      </c>
      <c r="M463" t="s">
        <v>21</v>
      </c>
      <c r="N463" t="s">
        <v>47</v>
      </c>
      <c r="O463">
        <v>85.52</v>
      </c>
      <c r="P463">
        <v>931.29</v>
      </c>
      <c r="Q463" t="s">
        <v>70</v>
      </c>
      <c r="R463">
        <v>26.97</v>
      </c>
    </row>
    <row r="464" spans="1:18" x14ac:dyDescent="0.25">
      <c r="A464" t="s">
        <v>529</v>
      </c>
      <c r="B464" s="1">
        <v>41592</v>
      </c>
      <c r="C464">
        <v>2013</v>
      </c>
      <c r="D464" t="s">
        <v>59</v>
      </c>
      <c r="E464" t="str">
        <f t="shared" si="14"/>
        <v>East</v>
      </c>
      <c r="F464" t="s">
        <v>60</v>
      </c>
      <c r="G464" t="s">
        <v>38</v>
      </c>
      <c r="H464" t="s">
        <v>39</v>
      </c>
      <c r="I464">
        <v>74.430000000000007</v>
      </c>
      <c r="J464">
        <v>503.33</v>
      </c>
      <c r="K464">
        <v>6762.47</v>
      </c>
      <c r="L464" t="str">
        <f t="shared" si="15"/>
        <v>High</v>
      </c>
      <c r="M464" t="s">
        <v>21</v>
      </c>
      <c r="N464" t="s">
        <v>49</v>
      </c>
      <c r="O464">
        <v>221.02</v>
      </c>
      <c r="P464">
        <v>739.2</v>
      </c>
      <c r="Q464" t="s">
        <v>61</v>
      </c>
      <c r="R464">
        <v>24.69</v>
      </c>
    </row>
    <row r="465" spans="1:18" x14ac:dyDescent="0.25">
      <c r="A465" t="s">
        <v>530</v>
      </c>
      <c r="B465" s="1">
        <v>43049</v>
      </c>
      <c r="C465">
        <v>2017</v>
      </c>
      <c r="D465" t="s">
        <v>59</v>
      </c>
      <c r="E465" t="str">
        <f t="shared" si="14"/>
        <v>East</v>
      </c>
      <c r="F465" t="s">
        <v>60</v>
      </c>
      <c r="G465" t="s">
        <v>38</v>
      </c>
      <c r="H465" t="s">
        <v>27</v>
      </c>
      <c r="I465">
        <v>90.7</v>
      </c>
      <c r="J465">
        <v>403.05</v>
      </c>
      <c r="K465">
        <v>4443.79</v>
      </c>
      <c r="L465" t="str">
        <f t="shared" si="15"/>
        <v>Medium</v>
      </c>
      <c r="M465" t="s">
        <v>34</v>
      </c>
      <c r="N465" t="s">
        <v>47</v>
      </c>
      <c r="O465">
        <v>155.25</v>
      </c>
      <c r="P465">
        <v>1160.58</v>
      </c>
      <c r="Q465" t="s">
        <v>70</v>
      </c>
      <c r="R465">
        <v>24.34</v>
      </c>
    </row>
    <row r="466" spans="1:18" x14ac:dyDescent="0.25">
      <c r="A466" t="s">
        <v>531</v>
      </c>
      <c r="B466" s="1">
        <v>44326</v>
      </c>
      <c r="C466">
        <v>2021</v>
      </c>
      <c r="D466" t="s">
        <v>17</v>
      </c>
      <c r="E466" t="str">
        <f t="shared" si="14"/>
        <v>North</v>
      </c>
      <c r="F466" t="s">
        <v>72</v>
      </c>
      <c r="G466" t="s">
        <v>19</v>
      </c>
      <c r="H466" t="s">
        <v>20</v>
      </c>
      <c r="I466">
        <v>7.08</v>
      </c>
      <c r="J466">
        <v>27.18</v>
      </c>
      <c r="K466">
        <v>3838.96</v>
      </c>
      <c r="L466" t="str">
        <f t="shared" si="15"/>
        <v>Medium</v>
      </c>
      <c r="M466" t="s">
        <v>40</v>
      </c>
      <c r="N466" t="s">
        <v>22</v>
      </c>
      <c r="O466">
        <v>193.21</v>
      </c>
      <c r="P466">
        <v>856.32</v>
      </c>
      <c r="Q466" t="s">
        <v>70</v>
      </c>
      <c r="R466">
        <v>32.130000000000003</v>
      </c>
    </row>
    <row r="467" spans="1:18" x14ac:dyDescent="0.25">
      <c r="A467" t="s">
        <v>532</v>
      </c>
      <c r="B467" s="1">
        <v>40723</v>
      </c>
      <c r="C467">
        <v>2011</v>
      </c>
      <c r="D467" t="s">
        <v>31</v>
      </c>
      <c r="E467" t="str">
        <f t="shared" si="14"/>
        <v>West</v>
      </c>
      <c r="F467" t="s">
        <v>32</v>
      </c>
      <c r="G467" t="s">
        <v>33</v>
      </c>
      <c r="H467" t="s">
        <v>27</v>
      </c>
      <c r="I467">
        <v>8.61</v>
      </c>
      <c r="J467">
        <v>49.1</v>
      </c>
      <c r="K467">
        <v>5702.58</v>
      </c>
      <c r="L467" t="str">
        <f t="shared" si="15"/>
        <v>High</v>
      </c>
      <c r="M467" t="s">
        <v>34</v>
      </c>
      <c r="N467" t="s">
        <v>47</v>
      </c>
      <c r="O467">
        <v>83.13</v>
      </c>
      <c r="P467">
        <v>480.97</v>
      </c>
      <c r="Q467" t="s">
        <v>70</v>
      </c>
      <c r="R467">
        <v>20.21</v>
      </c>
    </row>
    <row r="468" spans="1:18" x14ac:dyDescent="0.25">
      <c r="A468" t="s">
        <v>533</v>
      </c>
      <c r="B468" s="1">
        <v>44356</v>
      </c>
      <c r="C468">
        <v>2021</v>
      </c>
      <c r="D468" t="s">
        <v>103</v>
      </c>
      <c r="E468" t="str">
        <f t="shared" si="14"/>
        <v>North</v>
      </c>
      <c r="F468" t="s">
        <v>228</v>
      </c>
      <c r="G468" t="s">
        <v>33</v>
      </c>
      <c r="H468" t="s">
        <v>39</v>
      </c>
      <c r="I468">
        <v>45.22</v>
      </c>
      <c r="J468">
        <v>264.39999999999998</v>
      </c>
      <c r="K468">
        <v>5847.04</v>
      </c>
      <c r="L468" t="str">
        <f t="shared" si="15"/>
        <v>High</v>
      </c>
      <c r="M468" t="s">
        <v>34</v>
      </c>
      <c r="N468" t="s">
        <v>49</v>
      </c>
      <c r="O468">
        <v>245.63</v>
      </c>
      <c r="P468">
        <v>436.2</v>
      </c>
      <c r="Q468" t="s">
        <v>42</v>
      </c>
      <c r="R468">
        <v>31.99</v>
      </c>
    </row>
    <row r="469" spans="1:18" x14ac:dyDescent="0.25">
      <c r="A469" t="s">
        <v>534</v>
      </c>
      <c r="B469" s="1">
        <v>43705</v>
      </c>
      <c r="C469">
        <v>2019</v>
      </c>
      <c r="D469" t="s">
        <v>25</v>
      </c>
      <c r="E469" t="str">
        <f t="shared" si="14"/>
        <v>North</v>
      </c>
      <c r="F469" t="s">
        <v>26</v>
      </c>
      <c r="G469" t="s">
        <v>33</v>
      </c>
      <c r="H469" t="s">
        <v>46</v>
      </c>
      <c r="I469">
        <v>75.52</v>
      </c>
      <c r="J469">
        <v>262.64</v>
      </c>
      <c r="K469">
        <v>3477.69</v>
      </c>
      <c r="L469" t="str">
        <f t="shared" si="15"/>
        <v>Medium</v>
      </c>
      <c r="M469" t="s">
        <v>28</v>
      </c>
      <c r="N469" t="s">
        <v>22</v>
      </c>
      <c r="O469">
        <v>109.49</v>
      </c>
      <c r="P469">
        <v>640.19000000000005</v>
      </c>
      <c r="Q469" t="s">
        <v>42</v>
      </c>
      <c r="R469">
        <v>23.16</v>
      </c>
    </row>
    <row r="470" spans="1:18" x14ac:dyDescent="0.25">
      <c r="A470" t="s">
        <v>535</v>
      </c>
      <c r="B470" s="1">
        <v>44812</v>
      </c>
      <c r="C470">
        <v>2022</v>
      </c>
      <c r="D470" t="s">
        <v>17</v>
      </c>
      <c r="E470" t="str">
        <f t="shared" si="14"/>
        <v>North</v>
      </c>
      <c r="F470" t="s">
        <v>72</v>
      </c>
      <c r="G470" t="s">
        <v>33</v>
      </c>
      <c r="H470" t="s">
        <v>64</v>
      </c>
      <c r="I470">
        <v>17.59</v>
      </c>
      <c r="J470">
        <v>59.67</v>
      </c>
      <c r="K470">
        <v>3392.47</v>
      </c>
      <c r="L470" t="str">
        <f t="shared" si="15"/>
        <v>Medium</v>
      </c>
      <c r="M470" t="s">
        <v>34</v>
      </c>
      <c r="N470" t="s">
        <v>29</v>
      </c>
      <c r="O470">
        <v>169.07</v>
      </c>
      <c r="P470">
        <v>1148.25</v>
      </c>
      <c r="Q470" t="s">
        <v>61</v>
      </c>
      <c r="R470">
        <v>23.5</v>
      </c>
    </row>
    <row r="471" spans="1:18" x14ac:dyDescent="0.25">
      <c r="A471" t="s">
        <v>536</v>
      </c>
      <c r="B471" s="1">
        <v>43541</v>
      </c>
      <c r="C471">
        <v>2018</v>
      </c>
      <c r="D471" t="s">
        <v>31</v>
      </c>
      <c r="E471" t="str">
        <f t="shared" si="14"/>
        <v>West</v>
      </c>
      <c r="F471" t="s">
        <v>82</v>
      </c>
      <c r="G471" t="s">
        <v>38</v>
      </c>
      <c r="H471" t="s">
        <v>64</v>
      </c>
      <c r="I471">
        <v>29.59</v>
      </c>
      <c r="J471">
        <v>171.14</v>
      </c>
      <c r="K471">
        <v>5783.85</v>
      </c>
      <c r="L471" t="str">
        <f t="shared" si="15"/>
        <v>High</v>
      </c>
      <c r="M471" t="s">
        <v>28</v>
      </c>
      <c r="N471" t="s">
        <v>49</v>
      </c>
      <c r="O471">
        <v>219.62</v>
      </c>
      <c r="P471">
        <v>1161.76</v>
      </c>
      <c r="Q471" t="s">
        <v>23</v>
      </c>
      <c r="R471">
        <v>21.46</v>
      </c>
    </row>
    <row r="472" spans="1:18" x14ac:dyDescent="0.25">
      <c r="A472" t="s">
        <v>537</v>
      </c>
      <c r="B472" s="1">
        <v>43603</v>
      </c>
      <c r="C472">
        <v>2019</v>
      </c>
      <c r="D472" t="s">
        <v>44</v>
      </c>
      <c r="E472" t="str">
        <f t="shared" si="14"/>
        <v>East</v>
      </c>
      <c r="F472" t="s">
        <v>99</v>
      </c>
      <c r="G472" t="s">
        <v>19</v>
      </c>
      <c r="H472" t="s">
        <v>20</v>
      </c>
      <c r="I472">
        <v>34.159999999999997</v>
      </c>
      <c r="J472">
        <v>88.9</v>
      </c>
      <c r="K472">
        <v>2602.5300000000002</v>
      </c>
      <c r="L472" t="str">
        <f t="shared" si="15"/>
        <v>Low</v>
      </c>
      <c r="M472" t="s">
        <v>21</v>
      </c>
      <c r="N472" t="s">
        <v>41</v>
      </c>
      <c r="O472">
        <v>113.84</v>
      </c>
      <c r="P472">
        <v>784.18</v>
      </c>
      <c r="Q472" t="s">
        <v>52</v>
      </c>
      <c r="R472">
        <v>31.6</v>
      </c>
    </row>
    <row r="473" spans="1:18" x14ac:dyDescent="0.25">
      <c r="A473" t="s">
        <v>538</v>
      </c>
      <c r="B473" s="1">
        <v>43620</v>
      </c>
      <c r="C473">
        <v>2019</v>
      </c>
      <c r="D473" t="s">
        <v>17</v>
      </c>
      <c r="E473" t="str">
        <f t="shared" si="14"/>
        <v>North</v>
      </c>
      <c r="F473" t="s">
        <v>54</v>
      </c>
      <c r="G473" t="s">
        <v>33</v>
      </c>
      <c r="H473" t="s">
        <v>27</v>
      </c>
      <c r="I473">
        <v>34.4</v>
      </c>
      <c r="J473">
        <v>176.87</v>
      </c>
      <c r="K473">
        <v>5141.67</v>
      </c>
      <c r="L473" t="str">
        <f t="shared" si="15"/>
        <v>High</v>
      </c>
      <c r="M473" t="s">
        <v>40</v>
      </c>
      <c r="N473" t="s">
        <v>29</v>
      </c>
      <c r="O473">
        <v>128.32</v>
      </c>
      <c r="P473">
        <v>210.58</v>
      </c>
      <c r="Q473" t="s">
        <v>23</v>
      </c>
      <c r="R473">
        <v>32.479999999999997</v>
      </c>
    </row>
    <row r="474" spans="1:18" x14ac:dyDescent="0.25">
      <c r="A474" t="s">
        <v>539</v>
      </c>
      <c r="B474" s="1">
        <v>40672</v>
      </c>
      <c r="C474">
        <v>2011</v>
      </c>
      <c r="D474" t="s">
        <v>25</v>
      </c>
      <c r="E474" t="str">
        <f t="shared" si="14"/>
        <v>North</v>
      </c>
      <c r="F474" t="s">
        <v>69</v>
      </c>
      <c r="G474" t="s">
        <v>19</v>
      </c>
      <c r="H474" t="s">
        <v>46</v>
      </c>
      <c r="I474">
        <v>35.799999999999997</v>
      </c>
      <c r="J474">
        <v>191.58</v>
      </c>
      <c r="K474">
        <v>5351.5</v>
      </c>
      <c r="L474" t="str">
        <f t="shared" si="15"/>
        <v>High</v>
      </c>
      <c r="M474" t="s">
        <v>34</v>
      </c>
      <c r="N474" t="s">
        <v>41</v>
      </c>
      <c r="O474">
        <v>98.27</v>
      </c>
      <c r="P474">
        <v>223.7</v>
      </c>
      <c r="Q474" t="s">
        <v>23</v>
      </c>
      <c r="R474">
        <v>20.85</v>
      </c>
    </row>
    <row r="475" spans="1:18" x14ac:dyDescent="0.25">
      <c r="A475" t="s">
        <v>540</v>
      </c>
      <c r="B475" s="1">
        <v>40645</v>
      </c>
      <c r="C475">
        <v>2011</v>
      </c>
      <c r="D475" t="s">
        <v>59</v>
      </c>
      <c r="E475" t="str">
        <f t="shared" si="14"/>
        <v>East</v>
      </c>
      <c r="F475" t="s">
        <v>93</v>
      </c>
      <c r="G475" t="s">
        <v>19</v>
      </c>
      <c r="H475" t="s">
        <v>64</v>
      </c>
      <c r="I475">
        <v>9.5500000000000007</v>
      </c>
      <c r="J475">
        <v>44.2</v>
      </c>
      <c r="K475">
        <v>4628.1099999999997</v>
      </c>
      <c r="L475" t="str">
        <f t="shared" si="15"/>
        <v>Medium</v>
      </c>
      <c r="M475" t="s">
        <v>28</v>
      </c>
      <c r="N475" t="s">
        <v>22</v>
      </c>
      <c r="O475">
        <v>214.1</v>
      </c>
      <c r="P475">
        <v>1099.9000000000001</v>
      </c>
      <c r="Q475" t="s">
        <v>61</v>
      </c>
      <c r="R475">
        <v>32.049999999999997</v>
      </c>
    </row>
    <row r="476" spans="1:18" x14ac:dyDescent="0.25">
      <c r="A476" t="s">
        <v>541</v>
      </c>
      <c r="B476" s="1">
        <v>42026</v>
      </c>
      <c r="C476">
        <v>2014</v>
      </c>
      <c r="D476" t="s">
        <v>17</v>
      </c>
      <c r="E476" t="str">
        <f t="shared" si="14"/>
        <v>North</v>
      </c>
      <c r="F476" t="s">
        <v>18</v>
      </c>
      <c r="G476" t="s">
        <v>38</v>
      </c>
      <c r="H476" t="s">
        <v>46</v>
      </c>
      <c r="I476">
        <v>66.39</v>
      </c>
      <c r="J476">
        <v>96.55</v>
      </c>
      <c r="K476">
        <v>1454.29</v>
      </c>
      <c r="L476" t="str">
        <f t="shared" si="15"/>
        <v>Low</v>
      </c>
      <c r="M476" t="s">
        <v>28</v>
      </c>
      <c r="N476" t="s">
        <v>49</v>
      </c>
      <c r="O476">
        <v>280.67</v>
      </c>
      <c r="P476">
        <v>476.38</v>
      </c>
      <c r="Q476" t="s">
        <v>52</v>
      </c>
      <c r="R476">
        <v>30.38</v>
      </c>
    </row>
    <row r="477" spans="1:18" x14ac:dyDescent="0.25">
      <c r="A477" t="s">
        <v>542</v>
      </c>
      <c r="B477" s="1">
        <v>41842</v>
      </c>
      <c r="C477">
        <v>2014</v>
      </c>
      <c r="D477" t="s">
        <v>103</v>
      </c>
      <c r="E477" t="str">
        <f t="shared" si="14"/>
        <v>North</v>
      </c>
      <c r="F477" t="s">
        <v>104</v>
      </c>
      <c r="G477" t="s">
        <v>33</v>
      </c>
      <c r="H477" t="s">
        <v>46</v>
      </c>
      <c r="I477">
        <v>39.47</v>
      </c>
      <c r="J477">
        <v>275.33</v>
      </c>
      <c r="K477">
        <v>6975.75</v>
      </c>
      <c r="L477" t="str">
        <f t="shared" si="15"/>
        <v>High</v>
      </c>
      <c r="M477" t="s">
        <v>34</v>
      </c>
      <c r="N477" t="s">
        <v>47</v>
      </c>
      <c r="O477">
        <v>288.89999999999998</v>
      </c>
      <c r="P477">
        <v>464.66</v>
      </c>
      <c r="Q477" t="s">
        <v>52</v>
      </c>
      <c r="R477">
        <v>21.04</v>
      </c>
    </row>
    <row r="478" spans="1:18" x14ac:dyDescent="0.25">
      <c r="A478" t="s">
        <v>543</v>
      </c>
      <c r="B478" s="1">
        <v>44162</v>
      </c>
      <c r="C478">
        <v>2020</v>
      </c>
      <c r="D478" t="s">
        <v>36</v>
      </c>
      <c r="E478" t="str">
        <f t="shared" si="14"/>
        <v>South</v>
      </c>
      <c r="F478" t="s">
        <v>37</v>
      </c>
      <c r="G478" t="s">
        <v>38</v>
      </c>
      <c r="H478" t="s">
        <v>64</v>
      </c>
      <c r="I478">
        <v>15.24</v>
      </c>
      <c r="J478">
        <v>85.53</v>
      </c>
      <c r="K478">
        <v>5612.24</v>
      </c>
      <c r="L478" t="str">
        <f t="shared" si="15"/>
        <v>High</v>
      </c>
      <c r="M478" t="s">
        <v>40</v>
      </c>
      <c r="N478" t="s">
        <v>22</v>
      </c>
      <c r="O478">
        <v>203.49</v>
      </c>
      <c r="P478">
        <v>306.25</v>
      </c>
      <c r="Q478" t="s">
        <v>52</v>
      </c>
      <c r="R478">
        <v>30.73</v>
      </c>
    </row>
    <row r="479" spans="1:18" x14ac:dyDescent="0.25">
      <c r="A479" t="s">
        <v>544</v>
      </c>
      <c r="B479" s="1">
        <v>43573</v>
      </c>
      <c r="C479">
        <v>2019</v>
      </c>
      <c r="D479" t="s">
        <v>25</v>
      </c>
      <c r="E479" t="str">
        <f t="shared" si="14"/>
        <v>North</v>
      </c>
      <c r="F479" t="s">
        <v>26</v>
      </c>
      <c r="G479" t="s">
        <v>19</v>
      </c>
      <c r="H479" t="s">
        <v>20</v>
      </c>
      <c r="I479">
        <v>77.95</v>
      </c>
      <c r="J479">
        <v>86.73</v>
      </c>
      <c r="K479">
        <v>1112.5899999999999</v>
      </c>
      <c r="L479" t="str">
        <f t="shared" si="15"/>
        <v>Low</v>
      </c>
      <c r="M479" t="s">
        <v>28</v>
      </c>
      <c r="N479" t="s">
        <v>41</v>
      </c>
      <c r="O479">
        <v>87.21</v>
      </c>
      <c r="P479">
        <v>840.34</v>
      </c>
      <c r="Q479" t="s">
        <v>23</v>
      </c>
      <c r="R479">
        <v>29.97</v>
      </c>
    </row>
    <row r="480" spans="1:18" x14ac:dyDescent="0.25">
      <c r="A480" t="s">
        <v>545</v>
      </c>
      <c r="B480" s="1">
        <v>42461</v>
      </c>
      <c r="C480">
        <v>2016</v>
      </c>
      <c r="D480" t="s">
        <v>17</v>
      </c>
      <c r="E480" t="str">
        <f t="shared" si="14"/>
        <v>North</v>
      </c>
      <c r="F480" t="s">
        <v>72</v>
      </c>
      <c r="G480" t="s">
        <v>19</v>
      </c>
      <c r="H480" t="s">
        <v>64</v>
      </c>
      <c r="I480">
        <v>52.02</v>
      </c>
      <c r="J480">
        <v>345.39</v>
      </c>
      <c r="K480">
        <v>6639.47</v>
      </c>
      <c r="L480" t="str">
        <f t="shared" si="15"/>
        <v>High</v>
      </c>
      <c r="M480" t="s">
        <v>28</v>
      </c>
      <c r="N480" t="s">
        <v>29</v>
      </c>
      <c r="O480">
        <v>169.53</v>
      </c>
      <c r="P480">
        <v>603.91</v>
      </c>
      <c r="Q480" t="s">
        <v>23</v>
      </c>
      <c r="R480">
        <v>28.1</v>
      </c>
    </row>
    <row r="481" spans="1:18" x14ac:dyDescent="0.25">
      <c r="A481" t="s">
        <v>546</v>
      </c>
      <c r="B481" s="1">
        <v>40688</v>
      </c>
      <c r="C481">
        <v>2011</v>
      </c>
      <c r="D481" t="s">
        <v>17</v>
      </c>
      <c r="E481" t="str">
        <f t="shared" si="14"/>
        <v>North</v>
      </c>
      <c r="F481" t="s">
        <v>72</v>
      </c>
      <c r="G481" t="s">
        <v>19</v>
      </c>
      <c r="H481" t="s">
        <v>27</v>
      </c>
      <c r="I481">
        <v>93.57</v>
      </c>
      <c r="J481">
        <v>295.07</v>
      </c>
      <c r="K481">
        <v>3153.51</v>
      </c>
      <c r="L481" t="str">
        <f t="shared" si="15"/>
        <v>Medium</v>
      </c>
      <c r="M481" t="s">
        <v>34</v>
      </c>
      <c r="N481" t="s">
        <v>49</v>
      </c>
      <c r="O481">
        <v>150.15</v>
      </c>
      <c r="P481">
        <v>832.27</v>
      </c>
      <c r="Q481" t="s">
        <v>23</v>
      </c>
      <c r="R481">
        <v>25.48</v>
      </c>
    </row>
    <row r="482" spans="1:18" x14ac:dyDescent="0.25">
      <c r="A482" t="s">
        <v>547</v>
      </c>
      <c r="B482" s="1">
        <v>44957</v>
      </c>
      <c r="C482">
        <v>2022</v>
      </c>
      <c r="D482" t="s">
        <v>25</v>
      </c>
      <c r="E482" t="str">
        <f t="shared" si="14"/>
        <v>North</v>
      </c>
      <c r="F482" t="s">
        <v>87</v>
      </c>
      <c r="G482" t="s">
        <v>38</v>
      </c>
      <c r="H482" t="s">
        <v>39</v>
      </c>
      <c r="I482">
        <v>21.11</v>
      </c>
      <c r="J482">
        <v>91.34</v>
      </c>
      <c r="K482">
        <v>4326.8500000000004</v>
      </c>
      <c r="L482" t="str">
        <f t="shared" si="15"/>
        <v>Medium</v>
      </c>
      <c r="M482" t="s">
        <v>28</v>
      </c>
      <c r="N482" t="s">
        <v>29</v>
      </c>
      <c r="O482">
        <v>215.18</v>
      </c>
      <c r="P482">
        <v>498.87</v>
      </c>
      <c r="Q482" t="s">
        <v>52</v>
      </c>
      <c r="R482">
        <v>33.450000000000003</v>
      </c>
    </row>
    <row r="483" spans="1:18" x14ac:dyDescent="0.25">
      <c r="A483" t="s">
        <v>548</v>
      </c>
      <c r="B483" s="1">
        <v>42857</v>
      </c>
      <c r="C483">
        <v>2017</v>
      </c>
      <c r="D483" t="s">
        <v>25</v>
      </c>
      <c r="E483" t="str">
        <f t="shared" si="14"/>
        <v>North</v>
      </c>
      <c r="F483" t="s">
        <v>69</v>
      </c>
      <c r="G483" t="s">
        <v>19</v>
      </c>
      <c r="H483" t="s">
        <v>56</v>
      </c>
      <c r="I483">
        <v>14.85</v>
      </c>
      <c r="J483">
        <v>32.049999999999997</v>
      </c>
      <c r="K483">
        <v>2158.56</v>
      </c>
      <c r="L483" t="str">
        <f t="shared" si="15"/>
        <v>Low</v>
      </c>
      <c r="M483" t="s">
        <v>40</v>
      </c>
      <c r="N483" t="s">
        <v>47</v>
      </c>
      <c r="O483">
        <v>172.31</v>
      </c>
      <c r="P483">
        <v>262.99</v>
      </c>
      <c r="Q483" t="s">
        <v>61</v>
      </c>
      <c r="R483">
        <v>29.65</v>
      </c>
    </row>
    <row r="484" spans="1:18" x14ac:dyDescent="0.25">
      <c r="A484" t="s">
        <v>549</v>
      </c>
      <c r="B484" s="1">
        <v>40467</v>
      </c>
      <c r="C484">
        <v>2010</v>
      </c>
      <c r="D484" t="s">
        <v>44</v>
      </c>
      <c r="E484" t="str">
        <f t="shared" si="14"/>
        <v>East</v>
      </c>
      <c r="F484" t="s">
        <v>99</v>
      </c>
      <c r="G484" t="s">
        <v>33</v>
      </c>
      <c r="H484" t="s">
        <v>20</v>
      </c>
      <c r="I484">
        <v>6.55</v>
      </c>
      <c r="J484">
        <v>37.51</v>
      </c>
      <c r="K484">
        <v>5726.67</v>
      </c>
      <c r="L484" t="str">
        <f t="shared" si="15"/>
        <v>High</v>
      </c>
      <c r="M484" t="s">
        <v>21</v>
      </c>
      <c r="N484" t="s">
        <v>41</v>
      </c>
      <c r="O484">
        <v>151.38</v>
      </c>
      <c r="P484">
        <v>411.68</v>
      </c>
      <c r="Q484" t="s">
        <v>61</v>
      </c>
      <c r="R484">
        <v>26.88</v>
      </c>
    </row>
    <row r="485" spans="1:18" x14ac:dyDescent="0.25">
      <c r="A485" t="s">
        <v>550</v>
      </c>
      <c r="B485" s="1">
        <v>41459</v>
      </c>
      <c r="C485">
        <v>2013</v>
      </c>
      <c r="D485" t="s">
        <v>17</v>
      </c>
      <c r="E485" t="str">
        <f t="shared" si="14"/>
        <v>North</v>
      </c>
      <c r="F485" t="s">
        <v>54</v>
      </c>
      <c r="G485" t="s">
        <v>33</v>
      </c>
      <c r="H485" t="s">
        <v>64</v>
      </c>
      <c r="I485">
        <v>73.81</v>
      </c>
      <c r="J485">
        <v>290.32</v>
      </c>
      <c r="K485">
        <v>3933.37</v>
      </c>
      <c r="L485" t="str">
        <f t="shared" si="15"/>
        <v>Medium</v>
      </c>
      <c r="M485" t="s">
        <v>21</v>
      </c>
      <c r="N485" t="s">
        <v>22</v>
      </c>
      <c r="O485">
        <v>167.8</v>
      </c>
      <c r="P485">
        <v>1118.02</v>
      </c>
      <c r="Q485" t="s">
        <v>23</v>
      </c>
      <c r="R485">
        <v>23.64</v>
      </c>
    </row>
    <row r="486" spans="1:18" x14ac:dyDescent="0.25">
      <c r="A486" t="s">
        <v>551</v>
      </c>
      <c r="B486" s="1">
        <v>40539</v>
      </c>
      <c r="C486">
        <v>2010</v>
      </c>
      <c r="D486" t="s">
        <v>103</v>
      </c>
      <c r="E486" t="str">
        <f t="shared" si="14"/>
        <v>North</v>
      </c>
      <c r="F486" t="s">
        <v>228</v>
      </c>
      <c r="G486" t="s">
        <v>38</v>
      </c>
      <c r="H486" t="s">
        <v>64</v>
      </c>
      <c r="I486">
        <v>46.16</v>
      </c>
      <c r="J486">
        <v>93.43</v>
      </c>
      <c r="K486">
        <v>2024.14</v>
      </c>
      <c r="L486" t="str">
        <f t="shared" si="15"/>
        <v>Low</v>
      </c>
      <c r="M486" t="s">
        <v>21</v>
      </c>
      <c r="N486" t="s">
        <v>22</v>
      </c>
      <c r="O486">
        <v>254.45</v>
      </c>
      <c r="P486">
        <v>306.33</v>
      </c>
      <c r="Q486" t="s">
        <v>52</v>
      </c>
      <c r="R486">
        <v>28.92</v>
      </c>
    </row>
    <row r="487" spans="1:18" x14ac:dyDescent="0.25">
      <c r="A487" t="s">
        <v>552</v>
      </c>
      <c r="B487" s="1">
        <v>42719</v>
      </c>
      <c r="C487">
        <v>2016</v>
      </c>
      <c r="D487" t="s">
        <v>44</v>
      </c>
      <c r="E487" t="str">
        <f t="shared" si="14"/>
        <v>East</v>
      </c>
      <c r="F487" t="s">
        <v>45</v>
      </c>
      <c r="G487" t="s">
        <v>38</v>
      </c>
      <c r="H487" t="s">
        <v>39</v>
      </c>
      <c r="I487">
        <v>68.16</v>
      </c>
      <c r="J487">
        <v>200.76</v>
      </c>
      <c r="K487">
        <v>2945.41</v>
      </c>
      <c r="L487" t="str">
        <f t="shared" si="15"/>
        <v>Low</v>
      </c>
      <c r="M487" t="s">
        <v>40</v>
      </c>
      <c r="N487" t="s">
        <v>49</v>
      </c>
      <c r="O487">
        <v>130.4</v>
      </c>
      <c r="P487">
        <v>1164.69</v>
      </c>
      <c r="Q487" t="s">
        <v>42</v>
      </c>
      <c r="R487">
        <v>31.46</v>
      </c>
    </row>
    <row r="488" spans="1:18" x14ac:dyDescent="0.25">
      <c r="A488" t="s">
        <v>553</v>
      </c>
      <c r="B488" s="1">
        <v>41887</v>
      </c>
      <c r="C488">
        <v>2014</v>
      </c>
      <c r="D488" t="s">
        <v>25</v>
      </c>
      <c r="E488" t="str">
        <f t="shared" si="14"/>
        <v>North</v>
      </c>
      <c r="F488" t="s">
        <v>26</v>
      </c>
      <c r="G488" t="s">
        <v>33</v>
      </c>
      <c r="H488" t="s">
        <v>46</v>
      </c>
      <c r="I488">
        <v>17.64</v>
      </c>
      <c r="J488">
        <v>56.79</v>
      </c>
      <c r="K488">
        <v>3219.56</v>
      </c>
      <c r="L488" t="str">
        <f t="shared" si="15"/>
        <v>Medium</v>
      </c>
      <c r="M488" t="s">
        <v>40</v>
      </c>
      <c r="N488" t="s">
        <v>41</v>
      </c>
      <c r="O488">
        <v>159.66999999999999</v>
      </c>
      <c r="P488">
        <v>1125.68</v>
      </c>
      <c r="Q488" t="s">
        <v>23</v>
      </c>
      <c r="R488">
        <v>22</v>
      </c>
    </row>
    <row r="489" spans="1:18" x14ac:dyDescent="0.25">
      <c r="A489" t="s">
        <v>554</v>
      </c>
      <c r="B489" s="1">
        <v>40747</v>
      </c>
      <c r="C489">
        <v>2011</v>
      </c>
      <c r="D489" t="s">
        <v>25</v>
      </c>
      <c r="E489" t="str">
        <f t="shared" si="14"/>
        <v>North</v>
      </c>
      <c r="F489" t="s">
        <v>87</v>
      </c>
      <c r="G489" t="s">
        <v>33</v>
      </c>
      <c r="H489" t="s">
        <v>64</v>
      </c>
      <c r="I489">
        <v>18.760000000000002</v>
      </c>
      <c r="J489">
        <v>28.79</v>
      </c>
      <c r="K489">
        <v>1534.85</v>
      </c>
      <c r="L489" t="str">
        <f t="shared" si="15"/>
        <v>Low</v>
      </c>
      <c r="M489" t="s">
        <v>34</v>
      </c>
      <c r="N489" t="s">
        <v>41</v>
      </c>
      <c r="O489">
        <v>154.06</v>
      </c>
      <c r="P489">
        <v>1007.41</v>
      </c>
      <c r="Q489" t="s">
        <v>52</v>
      </c>
      <c r="R489">
        <v>30.39</v>
      </c>
    </row>
    <row r="490" spans="1:18" x14ac:dyDescent="0.25">
      <c r="A490" t="s">
        <v>555</v>
      </c>
      <c r="B490" s="1">
        <v>43482</v>
      </c>
      <c r="C490">
        <v>2018</v>
      </c>
      <c r="D490" t="s">
        <v>17</v>
      </c>
      <c r="E490" t="str">
        <f t="shared" si="14"/>
        <v>North</v>
      </c>
      <c r="F490" t="s">
        <v>72</v>
      </c>
      <c r="G490" t="s">
        <v>38</v>
      </c>
      <c r="H490" t="s">
        <v>46</v>
      </c>
      <c r="I490">
        <v>24.69</v>
      </c>
      <c r="J490">
        <v>50.55</v>
      </c>
      <c r="K490">
        <v>2047.29</v>
      </c>
      <c r="L490" t="str">
        <f t="shared" si="15"/>
        <v>Low</v>
      </c>
      <c r="M490" t="s">
        <v>21</v>
      </c>
      <c r="N490" t="s">
        <v>49</v>
      </c>
      <c r="O490">
        <v>199.07</v>
      </c>
      <c r="P490">
        <v>917.2</v>
      </c>
      <c r="Q490" t="s">
        <v>61</v>
      </c>
      <c r="R490">
        <v>34.25</v>
      </c>
    </row>
    <row r="491" spans="1:18" x14ac:dyDescent="0.25">
      <c r="A491" t="s">
        <v>556</v>
      </c>
      <c r="B491" s="1">
        <v>43370</v>
      </c>
      <c r="C491">
        <v>2018</v>
      </c>
      <c r="D491" t="s">
        <v>36</v>
      </c>
      <c r="E491" t="str">
        <f t="shared" si="14"/>
        <v>South</v>
      </c>
      <c r="F491" t="s">
        <v>37</v>
      </c>
      <c r="G491" t="s">
        <v>33</v>
      </c>
      <c r="H491" t="s">
        <v>56</v>
      </c>
      <c r="I491">
        <v>12.63</v>
      </c>
      <c r="J491">
        <v>52.81</v>
      </c>
      <c r="K491">
        <v>4181.1899999999996</v>
      </c>
      <c r="L491" t="str">
        <f t="shared" si="15"/>
        <v>Medium</v>
      </c>
      <c r="M491" t="s">
        <v>21</v>
      </c>
      <c r="N491" t="s">
        <v>41</v>
      </c>
      <c r="O491">
        <v>204.73</v>
      </c>
      <c r="P491">
        <v>1062.73</v>
      </c>
      <c r="Q491" t="s">
        <v>61</v>
      </c>
      <c r="R491">
        <v>27.61</v>
      </c>
    </row>
    <row r="492" spans="1:18" x14ac:dyDescent="0.25">
      <c r="A492" t="s">
        <v>557</v>
      </c>
      <c r="B492" s="1">
        <v>41519</v>
      </c>
      <c r="C492">
        <v>2013</v>
      </c>
      <c r="D492" t="s">
        <v>31</v>
      </c>
      <c r="E492" t="str">
        <f t="shared" si="14"/>
        <v>West</v>
      </c>
      <c r="F492" t="s">
        <v>82</v>
      </c>
      <c r="G492" t="s">
        <v>33</v>
      </c>
      <c r="H492" t="s">
        <v>56</v>
      </c>
      <c r="I492">
        <v>68.84</v>
      </c>
      <c r="J492">
        <v>468.9</v>
      </c>
      <c r="K492">
        <v>6811.44</v>
      </c>
      <c r="L492" t="str">
        <f t="shared" si="15"/>
        <v>High</v>
      </c>
      <c r="M492" t="s">
        <v>28</v>
      </c>
      <c r="N492" t="s">
        <v>49</v>
      </c>
      <c r="O492">
        <v>174.38</v>
      </c>
      <c r="P492">
        <v>359.76</v>
      </c>
      <c r="Q492" t="s">
        <v>23</v>
      </c>
      <c r="R492">
        <v>20.81</v>
      </c>
    </row>
    <row r="493" spans="1:18" x14ac:dyDescent="0.25">
      <c r="A493" t="s">
        <v>558</v>
      </c>
      <c r="B493" s="1">
        <v>41951</v>
      </c>
      <c r="C493">
        <v>2014</v>
      </c>
      <c r="D493" t="s">
        <v>103</v>
      </c>
      <c r="E493" t="str">
        <f t="shared" si="14"/>
        <v>North</v>
      </c>
      <c r="F493" t="s">
        <v>107</v>
      </c>
      <c r="G493" t="s">
        <v>38</v>
      </c>
      <c r="H493" t="s">
        <v>27</v>
      </c>
      <c r="I493">
        <v>80.709999999999994</v>
      </c>
      <c r="J493">
        <v>447.98</v>
      </c>
      <c r="K493">
        <v>5550.45</v>
      </c>
      <c r="L493" t="str">
        <f t="shared" si="15"/>
        <v>High</v>
      </c>
      <c r="M493" t="s">
        <v>21</v>
      </c>
      <c r="N493" t="s">
        <v>29</v>
      </c>
      <c r="O493">
        <v>76.11</v>
      </c>
      <c r="P493">
        <v>252.46</v>
      </c>
      <c r="Q493" t="s">
        <v>61</v>
      </c>
      <c r="R493">
        <v>22.64</v>
      </c>
    </row>
    <row r="494" spans="1:18" x14ac:dyDescent="0.25">
      <c r="A494" t="s">
        <v>559</v>
      </c>
      <c r="B494" s="1">
        <v>40723</v>
      </c>
      <c r="C494">
        <v>2011</v>
      </c>
      <c r="D494" t="s">
        <v>59</v>
      </c>
      <c r="E494" t="str">
        <f t="shared" si="14"/>
        <v>East</v>
      </c>
      <c r="F494" t="s">
        <v>60</v>
      </c>
      <c r="G494" t="s">
        <v>33</v>
      </c>
      <c r="H494" t="s">
        <v>39</v>
      </c>
      <c r="I494">
        <v>45.04</v>
      </c>
      <c r="J494">
        <v>201.71</v>
      </c>
      <c r="K494">
        <v>4478.57</v>
      </c>
      <c r="L494" t="str">
        <f t="shared" si="15"/>
        <v>Medium</v>
      </c>
      <c r="M494" t="s">
        <v>28</v>
      </c>
      <c r="N494" t="s">
        <v>49</v>
      </c>
      <c r="O494">
        <v>99.69</v>
      </c>
      <c r="P494">
        <v>876.85</v>
      </c>
      <c r="Q494" t="s">
        <v>70</v>
      </c>
      <c r="R494">
        <v>23.45</v>
      </c>
    </row>
    <row r="495" spans="1:18" x14ac:dyDescent="0.25">
      <c r="A495" t="s">
        <v>560</v>
      </c>
      <c r="B495" s="1">
        <v>41374</v>
      </c>
      <c r="C495">
        <v>2013</v>
      </c>
      <c r="D495" t="s">
        <v>103</v>
      </c>
      <c r="E495" t="str">
        <f t="shared" si="14"/>
        <v>North</v>
      </c>
      <c r="F495" t="s">
        <v>104</v>
      </c>
      <c r="G495" t="s">
        <v>19</v>
      </c>
      <c r="H495" t="s">
        <v>46</v>
      </c>
      <c r="I495">
        <v>87.12</v>
      </c>
      <c r="J495">
        <v>283.42</v>
      </c>
      <c r="K495">
        <v>3253.19</v>
      </c>
      <c r="L495" t="str">
        <f t="shared" si="15"/>
        <v>Medium</v>
      </c>
      <c r="M495" t="s">
        <v>40</v>
      </c>
      <c r="N495" t="s">
        <v>41</v>
      </c>
      <c r="O495">
        <v>68.38</v>
      </c>
      <c r="P495">
        <v>785.09</v>
      </c>
      <c r="Q495" t="s">
        <v>23</v>
      </c>
      <c r="R495">
        <v>33.36</v>
      </c>
    </row>
    <row r="496" spans="1:18" x14ac:dyDescent="0.25">
      <c r="A496" t="s">
        <v>561</v>
      </c>
      <c r="B496" s="1">
        <v>41359</v>
      </c>
      <c r="C496">
        <v>2012</v>
      </c>
      <c r="D496" t="s">
        <v>59</v>
      </c>
      <c r="E496" t="str">
        <f t="shared" si="14"/>
        <v>East</v>
      </c>
      <c r="F496" t="s">
        <v>63</v>
      </c>
      <c r="G496" t="s">
        <v>38</v>
      </c>
      <c r="H496" t="s">
        <v>20</v>
      </c>
      <c r="I496">
        <v>14.5</v>
      </c>
      <c r="J496">
        <v>77.12</v>
      </c>
      <c r="K496">
        <v>5318.93</v>
      </c>
      <c r="L496" t="str">
        <f t="shared" si="15"/>
        <v>High</v>
      </c>
      <c r="M496" t="s">
        <v>34</v>
      </c>
      <c r="N496" t="s">
        <v>22</v>
      </c>
      <c r="O496">
        <v>293.89</v>
      </c>
      <c r="P496">
        <v>402.21</v>
      </c>
      <c r="Q496" t="s">
        <v>42</v>
      </c>
      <c r="R496">
        <v>20.48</v>
      </c>
    </row>
    <row r="497" spans="1:18" x14ac:dyDescent="0.25">
      <c r="A497" t="s">
        <v>562</v>
      </c>
      <c r="B497" s="1">
        <v>40995</v>
      </c>
      <c r="C497">
        <v>2011</v>
      </c>
      <c r="D497" t="s">
        <v>31</v>
      </c>
      <c r="E497" t="str">
        <f t="shared" si="14"/>
        <v>West</v>
      </c>
      <c r="F497" t="s">
        <v>82</v>
      </c>
      <c r="G497" t="s">
        <v>38</v>
      </c>
      <c r="H497" t="s">
        <v>46</v>
      </c>
      <c r="I497">
        <v>42.4</v>
      </c>
      <c r="J497">
        <v>235.83</v>
      </c>
      <c r="K497">
        <v>5562.04</v>
      </c>
      <c r="L497" t="str">
        <f t="shared" si="15"/>
        <v>High</v>
      </c>
      <c r="M497" t="s">
        <v>40</v>
      </c>
      <c r="N497" t="s">
        <v>47</v>
      </c>
      <c r="O497">
        <v>271.60000000000002</v>
      </c>
      <c r="P497">
        <v>803.64</v>
      </c>
      <c r="Q497" t="s">
        <v>61</v>
      </c>
      <c r="R497">
        <v>33.58</v>
      </c>
    </row>
    <row r="498" spans="1:18" x14ac:dyDescent="0.25">
      <c r="A498" t="s">
        <v>563</v>
      </c>
      <c r="B498" s="1">
        <v>40911</v>
      </c>
      <c r="C498">
        <v>2011</v>
      </c>
      <c r="D498" t="s">
        <v>44</v>
      </c>
      <c r="E498" t="str">
        <f t="shared" si="14"/>
        <v>East</v>
      </c>
      <c r="F498" t="s">
        <v>45</v>
      </c>
      <c r="G498" t="s">
        <v>38</v>
      </c>
      <c r="H498" t="s">
        <v>27</v>
      </c>
      <c r="I498">
        <v>49.43</v>
      </c>
      <c r="J498">
        <v>344.72</v>
      </c>
      <c r="K498">
        <v>6973.99</v>
      </c>
      <c r="L498" t="str">
        <f t="shared" si="15"/>
        <v>High</v>
      </c>
      <c r="M498" t="s">
        <v>28</v>
      </c>
      <c r="N498" t="s">
        <v>41</v>
      </c>
      <c r="O498">
        <v>259.25</v>
      </c>
      <c r="P498">
        <v>479.17</v>
      </c>
      <c r="Q498" t="s">
        <v>52</v>
      </c>
      <c r="R498">
        <v>31.04</v>
      </c>
    </row>
    <row r="499" spans="1:18" x14ac:dyDescent="0.25">
      <c r="A499" t="s">
        <v>564</v>
      </c>
      <c r="B499" s="1">
        <v>43746</v>
      </c>
      <c r="C499">
        <v>2019</v>
      </c>
      <c r="D499" t="s">
        <v>31</v>
      </c>
      <c r="E499" t="str">
        <f t="shared" si="14"/>
        <v>West</v>
      </c>
      <c r="F499" t="s">
        <v>32</v>
      </c>
      <c r="G499" t="s">
        <v>33</v>
      </c>
      <c r="H499" t="s">
        <v>27</v>
      </c>
      <c r="I499">
        <v>94.68</v>
      </c>
      <c r="J499">
        <v>613.77</v>
      </c>
      <c r="K499">
        <v>6482.53</v>
      </c>
      <c r="L499" t="str">
        <f t="shared" si="15"/>
        <v>High</v>
      </c>
      <c r="M499" t="s">
        <v>21</v>
      </c>
      <c r="N499" t="s">
        <v>22</v>
      </c>
      <c r="O499">
        <v>154.44</v>
      </c>
      <c r="P499">
        <v>244.22</v>
      </c>
      <c r="Q499" t="s">
        <v>52</v>
      </c>
      <c r="R499">
        <v>31</v>
      </c>
    </row>
    <row r="500" spans="1:18" x14ac:dyDescent="0.25">
      <c r="A500" t="s">
        <v>565</v>
      </c>
      <c r="B500" s="1">
        <v>42708</v>
      </c>
      <c r="C500">
        <v>2016</v>
      </c>
      <c r="D500" t="s">
        <v>36</v>
      </c>
      <c r="E500" t="str">
        <f t="shared" si="14"/>
        <v>South</v>
      </c>
      <c r="F500" t="s">
        <v>77</v>
      </c>
      <c r="G500" t="s">
        <v>38</v>
      </c>
      <c r="H500" t="s">
        <v>39</v>
      </c>
      <c r="I500">
        <v>82.31</v>
      </c>
      <c r="J500">
        <v>305.75</v>
      </c>
      <c r="K500">
        <v>3714.65</v>
      </c>
      <c r="L500" t="str">
        <f t="shared" si="15"/>
        <v>Medium</v>
      </c>
      <c r="M500" t="s">
        <v>40</v>
      </c>
      <c r="N500" t="s">
        <v>49</v>
      </c>
      <c r="O500">
        <v>70.77</v>
      </c>
      <c r="P500">
        <v>953.08</v>
      </c>
      <c r="Q500" t="s">
        <v>52</v>
      </c>
      <c r="R500">
        <v>34.25</v>
      </c>
    </row>
    <row r="501" spans="1:18" x14ac:dyDescent="0.25">
      <c r="A501" t="s">
        <v>566</v>
      </c>
      <c r="B501" s="1">
        <v>44101</v>
      </c>
      <c r="C501">
        <v>2020</v>
      </c>
      <c r="D501" t="s">
        <v>31</v>
      </c>
      <c r="E501" t="str">
        <f t="shared" si="14"/>
        <v>West</v>
      </c>
      <c r="F501" t="s">
        <v>82</v>
      </c>
      <c r="G501" t="s">
        <v>33</v>
      </c>
      <c r="H501" t="s">
        <v>64</v>
      </c>
      <c r="I501">
        <v>48.5</v>
      </c>
      <c r="J501">
        <v>137.21</v>
      </c>
      <c r="K501">
        <v>2829.02</v>
      </c>
      <c r="L501" t="str">
        <f t="shared" si="15"/>
        <v>Low</v>
      </c>
      <c r="M501" t="s">
        <v>28</v>
      </c>
      <c r="N501" t="s">
        <v>41</v>
      </c>
      <c r="O501">
        <v>264.48</v>
      </c>
      <c r="P501">
        <v>947.29</v>
      </c>
      <c r="Q501" t="s">
        <v>23</v>
      </c>
      <c r="R501">
        <v>34.65</v>
      </c>
    </row>
  </sheetData>
  <conditionalFormatting sqref="J1:J501">
    <cfRule type="dataBar" priority="1">
      <dataBar>
        <cfvo type="min"/>
        <cfvo type="max"/>
        <color rgb="FF63C384"/>
      </dataBar>
      <extLst>
        <ext xmlns:x14="http://schemas.microsoft.com/office/spreadsheetml/2009/9/main" uri="{B025F937-C7B1-47D3-B67F-A62EFF666E3E}">
          <x14:id>{890FD7EC-C607-43A6-A396-26D418B6BE54}</x14:id>
        </ext>
      </extLst>
    </cfRule>
  </conditionalFormatting>
  <conditionalFormatting sqref="K2:K501">
    <cfRule type="colorScale" priority="2">
      <colorScale>
        <cfvo type="min"/>
        <cfvo type="percentile" val="50"/>
        <cfvo type="max"/>
        <color rgb="FFFF0000"/>
        <color rgb="FFFFEB84"/>
        <color rgb="FF92D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90FD7EC-C607-43A6-A396-26D418B6BE54}">
            <x14:dataBar minLength="0" maxLength="100" border="1" negativeBarBorderColorSameAsPositive="0">
              <x14:cfvo type="autoMin"/>
              <x14:cfvo type="autoMax"/>
              <x14:borderColor rgb="FF63C384"/>
              <x14:negativeFillColor rgb="FFFF0000"/>
              <x14:negativeBorderColor rgb="FFFF0000"/>
              <x14:axisColor rgb="FF000000"/>
            </x14:dataBar>
          </x14:cfRule>
          <xm:sqref>J1:J501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pivot_analysis</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nagaraju boinapalli</cp:lastModifiedBy>
  <dcterms:created xsi:type="dcterms:W3CDTF">2026-09-03T07:15:19Z</dcterms:created>
  <dcterms:modified xsi:type="dcterms:W3CDTF">2026-09-04T05:40:57Z</dcterms:modified>
</cp:coreProperties>
</file>